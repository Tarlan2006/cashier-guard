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0a6021c5e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6aae7239cc394a7a"/>
    <x:sheet xmlns:r="http://schemas.openxmlformats.org/officeDocument/2006/relationships" name="События" sheetId="2" r:id="R6aaf48e5cabf44c0"/>
    <x:sheet xmlns:r="http://schemas.openxmlformats.org/officeDocument/2006/relationships" name="Правила" sheetId="3" r:id="R006553ef67134db1"/>
    <x:sheet xmlns:r="http://schemas.openxmlformats.org/officeDocument/2006/relationships" name="Исходные метки" sheetId="4" r:id="R8e5d634dcc4c4a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dd.mm.yyyy"/>
  </x:numFmts>
  <x:fonts count="5">
    <x:font>
      <x:sz val="11"/>
      <x:name val="Carlito"/>
    </x:font>
    <x:font>
      <x:sz val="11"/>
      <x:color rgb="FF202838"/>
      <x:name val="Arial"/>
    </x:font>
    <x:font>
      <x:b/>
      <x:sz val="16"/>
      <x:color rgb="FF8B1748"/>
      <x:name val="Arial"/>
    </x:font>
    <x:font>
      <x:sz val="11"/>
      <x:color rgb="FF58657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8B1748"/>
      </x:patternFill>
    </x:fill>
    <x:fill>
      <x:patternFill patternType="solid">
        <x:fgColor rgb="FFFFF3D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B1748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F2340"/>
      </x:font>
      <x:fill>
        <x:patternFill>
          <x:bgColor rgb="FFFDE8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ac9ffd34f4e70" /><Relationship Type="http://schemas.openxmlformats.org/officeDocument/2006/relationships/theme" Target="/xl/theme/theme1.xml" Id="R1b1ef760f98a45fa" /><Relationship Type="http://schemas.openxmlformats.org/officeDocument/2006/relationships/sharedStrings" Target="/xl/sharedStrings.xml" Id="R850b5b3fb3dd4f3d" /><Relationship Type="http://schemas.openxmlformats.org/officeDocument/2006/relationships/worksheet" Target="/xl/worksheets/sheet1.xml" Id="R6aae7239cc394a7a" /><Relationship Type="http://schemas.openxmlformats.org/officeDocument/2006/relationships/worksheet" Target="/xl/worksheets/sheet2.xml" Id="R6aaf48e5cabf44c0" /><Relationship Type="http://schemas.openxmlformats.org/officeDocument/2006/relationships/worksheet" Target="/xl/worksheets/sheet3.xml" Id="R006553ef67134db1" /><Relationship Type="http://schemas.openxmlformats.org/officeDocument/2006/relationships/worksheet" Target="/xl/worksheets/sheet4.xml" Id="R8e5d634dcc4c4a30" /></Relationships>
</file>

<file path=xl/tables/table1.xml><?xml version="1.0" encoding="utf-8"?>
<x:table xmlns:x="http://schemas.openxmlformats.org/spreadsheetml/2006/main" id="1" name="VideoRegistry" displayName="VideoRegistry" ref="A11:N53" headerRowCount="1" totalsRowCount="0" totalsRowShown="0">
  <x:tableColumns count="14">
    <x:tableColumn id="1" name="ID видео"/>
    <x:tableColumn id="2" name="Файл"/>
    <x:tableColumn id="3" name="Метка источника"/>
    <x:tableColumn id="4" name="Исходный таймкод"/>
    <x:tableColumn id="5" name="Таймкод, с"/>
    <x:tableColumn id="6" name="Длительность, с"/>
    <x:tableColumn id="7" name="Размер, МиБ"/>
    <x:tableColumn id="8" name="Средний FPS"/>
    <x:tableColumn id="9" name="Размер кадра"/>
    <x:tableColumn id="10" name="Группа дублей"/>
    <x:tableColumn id="11" name="Копий"/>
    <x:tableColumn id="12" name="Замечание аудита"/>
    <x:tableColumn id="13" name="Выборка"/>
    <x:tableColumn id="14" name="Просмот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Review" displayName="EventReview" ref="A10:K32" headerRowCount="1" totalsRowCount="0" totalsRowShown="0">
  <x:tableColumns count="11">
    <x:tableColumn id="1" name="ID записи"/>
    <x:tableColumn id="2" name="ID видео"/>
    <x:tableColumn id="3" name="Файл"/>
    <x:tableColumn id="4" name="Отметка источника, с"/>
    <x:tableColumn id="5" name="Уточнённое время, с"/>
    <x:tableColumn id="6" name="Что видно на видео"/>
    <x:tableColumn id="7" name="Что не видно / неоднозначно"/>
    <x:tableColumn id="8" name="Предполагаемый тип"/>
    <x:tableColumn id="9" name="Кадр-доказательство"/>
    <x:tableColumn id="10" name="ID правила"/>
    <x:tableColumn id="11" name="Следующее действи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leCatalog" displayName="RuleCatalog" ref="A10:J22" headerRowCount="1" totalsRowCount="0" totalsRowShown="0">
  <x:tableColumns count="10">
    <x:tableColumn id="1" name="ID правила"/>
    <x:tableColumn id="2" name="Тип события"/>
    <x:tableColumn id="3" name="Визуальные признаки"/>
    <x:tableColumn id="4" name="Документ"/>
    <x:tableColumn id="5" name="Ссылка"/>
    <x:tableColumn id="6" name="Пункт / раздел"/>
    <x:tableColumn id="7" name="Условия применения"/>
    <x:tableColumn id="8" name="Когда вывод невозможен"/>
    <x:tableColumn id="9" name="Дата проверки"/>
    <x:tableColumn id="10" name="Статус проверк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iginalLabels" displayName="OriginalLabels" ref="A7:C49" headerRowCount="1" totalsRowCount="0" totalsRowShown="0">
  <x:tableColumns count="3">
    <x:tableColumn id="1" name="наименование файла"/>
    <x:tableColumn id="2" name="таймстемп"/>
    <x:tableColumn id="3" name="нарушение / без нарушен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245e6c6acf41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3048f49fd745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d76ece4e2354b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14d7ec524094aa8" /></Relationships>
</file>

<file path=xl/worksheets/sheet1.xml><?xml version="1.0" encoding="utf-8"?>
<x:worksheet xmlns:x="http://schemas.openxmlformats.org/spreadsheetml/2006/main">
  <x:sheetPr>
    <x:tabColor rgb="FF8B1748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1" hidden="0" customWidth="1"/>
    <x:col min="4" max="4" width="23" hidden="0" customWidth="1"/>
    <x:col min="5" max="5" width="14" hidden="0" customWidth="1"/>
    <x:col min="6" max="6" width="15" hidden="0" customWidth="1"/>
    <x:col min="7" max="7" width="13" hidden="0" customWidth="1"/>
    <x:col min="8" max="8" width="13" hidden="0" customWidth="1"/>
    <x:col min="9" max="9" width="18" hidden="0" customWidth="1"/>
    <x:col min="10" max="10" width="15" hidden="0" customWidth="1"/>
    <x:col min="11" max="11" width="11" hidden="0" customWidth="1"/>
    <x:col min="12" max="12" width="54" hidden="0" customWidth="1"/>
    <x:col min="13" max="13" width="22" hidden="0" customWidth="1"/>
    <x:col min="14" max="14" width="22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2" customHeight="1">
      <x:c r="A2" s="3" t="str">
        <x:v>ForteBank: реестр датасета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6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6" customHeight="1">
      <x:c r="A5" s="2" t="str">
        <x:v>Видеофайлов</x:v>
      </x:c>
      <x:c r="B5" s="2" t="n">
        <x:f>COUNTA(A12:A53)</x:f>
        <x:v>42</x:v>
      </x:c>
      <x:c r="C5" s="2"/>
      <x:c r="D5" s="2" t="str">
        <x:v>Уникальных записей</x:v>
      </x:c>
      <x:c r="E5" s="2" t="n">
        <x:v>40</x:v>
      </x:c>
      <x:c r="F5" s="2"/>
      <x:c r="G5" s="2"/>
      <x:c r="H5" s="2"/>
      <x:c r="I5" s="2"/>
      <x:c r="J5" s="2"/>
      <x:c r="K5" s="2"/>
      <x:c r="L5" s="2"/>
      <x:c r="M5" s="2"/>
      <x:c r="N5" s="2"/>
    </x:row>
    <x:row r="6" ht="26" customHeight="1">
      <x:c r="A6" s="2" t="str">
        <x:v>Нарушение</x:v>
      </x:c>
      <x:c r="B6" s="2" t="n">
        <x:f>COUNTIFS(C12:C53,"нарушение")</x:f>
        <x:v>22</x:v>
      </x:c>
      <x:c r="C6" s="2"/>
      <x:c r="D6" s="2" t="str">
        <x:v>Общий хронометраж, мин</x:v>
      </x:c>
      <x:c r="E6" s="5" t="n">
        <x:f>SUM(F12:F53)/60</x:f>
        <x:v>24.069683333333334</x:v>
      </x:c>
      <x:c r="F6" s="2"/>
      <x:c r="G6" s="2"/>
      <x:c r="H6" s="2"/>
      <x:c r="I6" s="2"/>
      <x:c r="J6" s="2"/>
      <x:c r="K6" s="2"/>
      <x:c r="L6" s="2"/>
      <x:c r="M6" s="2"/>
      <x:c r="N6" s="2"/>
    </x:row>
    <x:row r="7" ht="26" customHeight="1">
      <x:c r="A7" s="2" t="str">
        <x:v>Без нарушения</x:v>
      </x:c>
      <x:c r="B7" s="2" t="n">
        <x:f>COUNTIFS(C12:C53,"без нарушения")</x:f>
        <x:v>20</x:v>
      </x:c>
      <x:c r="C7" s="2"/>
      <x:c r="D7" s="2" t="str">
        <x:v>Объём, МиБ</x:v>
      </x:c>
      <x:c r="E7" s="5" t="n">
        <x:f>SUM(G12:G53)</x:f>
        <x:v>279.30354499816895</x:v>
      </x:c>
      <x:c r="F7" s="2"/>
      <x:c r="G7" s="2"/>
      <x:c r="H7" s="2"/>
      <x:c r="I7" s="2"/>
      <x:c r="J7" s="2"/>
      <x:c r="K7" s="2"/>
      <x:c r="L7" s="2"/>
      <x:c r="M7" s="2"/>
      <x:c r="N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6" customHeight="1">
      <x:c r="A9" s="6" t="str">
        <x:v>Х-4/Х-47: один видеоряд, отметки 57 и 68 с. Х-5/Х-48: копии без отметок. Копии одной группы — в одной выборке.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6" customHeight="1">
      <x:c r="A10" s="6" t="str">
        <x:v>ID нормализован к латинской X. Файлы не переименованы. Жёлтые столбцы заполняются вручную.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48" customHeight="1">
      <x:c r="A11" s="10" t="str">
        <x:v>ID видео</x:v>
      </x:c>
      <x:c r="B11" s="10" t="str">
        <x:v>Файл</x:v>
      </x:c>
      <x:c r="C11" s="10" t="str">
        <x:v>Метка источника</x:v>
      </x:c>
      <x:c r="D11" s="10" t="str">
        <x:v>Исходный таймкод</x:v>
      </x:c>
      <x:c r="E11" s="10" t="str">
        <x:v>Таймкод, с</x:v>
      </x:c>
      <x:c r="F11" s="10" t="str">
        <x:v>Длительность, с</x:v>
      </x:c>
      <x:c r="G11" s="10" t="str">
        <x:v>Размер, МиБ</x:v>
      </x:c>
      <x:c r="H11" s="10" t="str">
        <x:v>Средний FPS</x:v>
      </x:c>
      <x:c r="I11" s="10" t="str">
        <x:v>Размер кадра</x:v>
      </x:c>
      <x:c r="J11" s="10" t="str">
        <x:v>Группа дублей</x:v>
      </x:c>
      <x:c r="K11" s="10" t="str">
        <x:v>Копий</x:v>
      </x:c>
      <x:c r="L11" s="10" t="str">
        <x:v>Замечание аудита</x:v>
      </x:c>
      <x:c r="M11" s="10" t="str">
        <x:v>Выборка</x:v>
      </x:c>
      <x:c r="N11" s="10" t="str">
        <x:v>Просмотр</x:v>
      </x:c>
    </x:row>
    <x:row r="12" ht="26" customHeight="1">
      <x:c r="A12" s="2" t="str">
        <x:v>X-1</x:v>
      </x:c>
      <x:c r="B12" s="2" t="str">
        <x:v>X-1.mov</x:v>
      </x:c>
      <x:c r="C12" s="2" t="str">
        <x:v>нарушение</x:v>
      </x:c>
      <x:c r="D12" s="2" t="str">
        <x:v>22 секунда</x:v>
      </x:c>
      <x:c r="E12" s="11" t="n">
        <x:v>22</x:v>
      </x:c>
      <x:c r="F12" s="11" t="n">
        <x:v>25.934</x:v>
      </x:c>
      <x:c r="G12" s="11" t="n">
        <x:v>5.009821891784668</x:v>
      </x:c>
      <x:c r="H12" s="11" t="n">
        <x:v>29.922879177377894</x:v>
      </x:c>
      <x:c r="I12" s="2" t="str">
        <x:v>464 × 848</x:v>
      </x:c>
      <x:c r="J12" s="2" t="str">
        <x:v>X-1</x:v>
      </x:c>
      <x:c r="K12" s="2" t="n">
        <x:v>1</x:v>
      </x:c>
      <x:c r="L12" s="12" t="str"/>
      <x:c r="M12" s="13"/>
      <x:c r="N12" s="13" t="str">
        <x:v>Не просмотрено</x:v>
      </x:c>
    </x:row>
    <x:row r="13" ht="26" customHeight="1">
      <x:c r="A13" s="2" t="str">
        <x:v>X-2</x:v>
      </x:c>
      <x:c r="B13" s="2" t="str">
        <x:v>X-2.mov</x:v>
      </x:c>
      <x:c r="C13" s="2" t="str">
        <x:v>нарушение</x:v>
      </x:c>
      <x:c r="D13" s="2" t="str">
        <x:v>10 секунда</x:v>
      </x:c>
      <x:c r="E13" s="11" t="n">
        <x:v>10</x:v>
      </x:c>
      <x:c r="F13" s="11" t="n">
        <x:v>17.067</x:v>
      </x:c>
      <x:c r="G13" s="11" t="n">
        <x:v>3.315110206604004</x:v>
      </x:c>
      <x:c r="H13" s="11" t="n">
        <x:v>29.8828125</x:v>
      </x:c>
      <x:c r="I13" s="2" t="str">
        <x:v>464 × 848</x:v>
      </x:c>
      <x:c r="J13" s="2" t="str">
        <x:v>X-2</x:v>
      </x:c>
      <x:c r="K13" s="2" t="n">
        <x:v>1</x:v>
      </x:c>
      <x:c r="L13" s="12" t="str"/>
      <x:c r="M13" s="13"/>
      <x:c r="N13" s="13" t="str">
        <x:v>Не просмотрено</x:v>
      </x:c>
    </x:row>
    <x:row r="14" ht="26" customHeight="1">
      <x:c r="A14" s="2" t="str">
        <x:v>X-3</x:v>
      </x:c>
      <x:c r="B14" s="2" t="str">
        <x:v>Х-3.mov</x:v>
      </x:c>
      <x:c r="C14" s="2" t="str">
        <x:v>без нарушения</x:v>
      </x:c>
      <x:c r="D14" s="2"/>
      <x:c r="E14" s="11"/>
      <x:c r="F14" s="11" t="n">
        <x:v>20.034</x:v>
      </x:c>
      <x:c r="G14" s="11" t="n">
        <x:v>3.8883228302001953</x:v>
      </x:c>
      <x:c r="H14" s="11" t="n">
        <x:v>29.90016638935108</x:v>
      </x:c>
      <x:c r="I14" s="2" t="str">
        <x:v>464 × 848</x:v>
      </x:c>
      <x:c r="J14" s="2" t="str">
        <x:v>X-3</x:v>
      </x:c>
      <x:c r="K14" s="2" t="n">
        <x:v>1</x:v>
      </x:c>
      <x:c r="L14" s="12" t="str"/>
      <x:c r="M14" s="13"/>
      <x:c r="N14" s="13" t="str">
        <x:v>Не просмотрено</x:v>
      </x:c>
    </x:row>
    <x:row r="15" ht="60" customHeight="1">
      <x:c r="A15" s="2" t="str">
        <x:v>X-4</x:v>
      </x:c>
      <x:c r="B15" s="2" t="str">
        <x:v>Х-4.mov</x:v>
      </x:c>
      <x:c r="C15" s="2" t="str">
        <x:v>нарушение</x:v>
      </x:c>
      <x:c r="D15" s="2" t="str">
        <x:v>57 секунда</x:v>
      </x:c>
      <x:c r="E15" s="11" t="n">
        <x:v>57</x:v>
      </x:c>
      <x:c r="F15" s="11" t="n">
        <x:v>72.7</x:v>
      </x:c>
      <x:c r="G15" s="11" t="n">
        <x:v>14.026220321655273</x:v>
      </x:c>
      <x:c r="H15" s="11" t="n">
        <x:v>29.944979367262725</x:v>
      </x:c>
      <x:c r="I15" s="2" t="str">
        <x:v>464 × 848</x:v>
      </x:c>
      <x:c r="J15" s="2" t="str">
        <x:v>X-4</x:v>
      </x:c>
      <x:c r="K15" s="2" t="n">
        <x:v>2</x:v>
      </x:c>
      <x:c r="L15" s="12" t="str">
        <x:v>Точный дубль: Х-47.mov; Разные таймкоды одинакового видео</x:v>
      </x:c>
      <x:c r="M15" s="13"/>
      <x:c r="N15" s="13" t="str">
        <x:v>Не просмотрено</x:v>
      </x:c>
    </x:row>
    <x:row r="16" ht="60" customHeight="1">
      <x:c r="A16" s="2" t="str">
        <x:v>X-5</x:v>
      </x:c>
      <x:c r="B16" s="2" t="str">
        <x:v>Х-5.mov</x:v>
      </x:c>
      <x:c r="C16" s="2" t="str">
        <x:v>без нарушения</x:v>
      </x:c>
      <x:c r="D16" s="2"/>
      <x:c r="E16" s="11"/>
      <x:c r="F16" s="11" t="n">
        <x:v>71.6</x:v>
      </x:c>
      <x:c r="G16" s="11" t="n">
        <x:v>13.778738975524902</x:v>
      </x:c>
      <x:c r="H16" s="11" t="n">
        <x:v>29.95810055865922</x:v>
      </x:c>
      <x:c r="I16" s="2" t="str">
        <x:v>464 × 848</x:v>
      </x:c>
      <x:c r="J16" s="2" t="str">
        <x:v>X-5</x:v>
      </x:c>
      <x:c r="K16" s="2" t="n">
        <x:v>2</x:v>
      </x:c>
      <x:c r="L16" s="12" t="str">
        <x:v>Точный дубль: Х-48.mov</x:v>
      </x:c>
      <x:c r="M16" s="13"/>
      <x:c r="N16" s="13" t="str">
        <x:v>Не просмотрено</x:v>
      </x:c>
    </x:row>
    <x:row r="17" ht="26" customHeight="1">
      <x:c r="A17" s="2" t="str">
        <x:v>X-8</x:v>
      </x:c>
      <x:c r="B17" s="2" t="str">
        <x:v>Х-8.mov</x:v>
      </x:c>
      <x:c r="C17" s="2" t="str">
        <x:v>без нарушения</x:v>
      </x:c>
      <x:c r="D17" s="2"/>
      <x:c r="E17" s="11"/>
      <x:c r="F17" s="11" t="n">
        <x:v>38.034</x:v>
      </x:c>
      <x:c r="G17" s="11" t="n">
        <x:v>7.356901168823242</x:v>
      </x:c>
      <x:c r="H17" s="11" t="n">
        <x:v>29.97370727432077</x:v>
      </x:c>
      <x:c r="I17" s="2" t="str">
        <x:v>464 × 848</x:v>
      </x:c>
      <x:c r="J17" s="2" t="str">
        <x:v>X-8</x:v>
      </x:c>
      <x:c r="K17" s="2" t="n">
        <x:v>1</x:v>
      </x:c>
      <x:c r="L17" s="12" t="str"/>
      <x:c r="M17" s="13"/>
      <x:c r="N17" s="13" t="str">
        <x:v>Не просмотрено</x:v>
      </x:c>
    </x:row>
    <x:row r="18" ht="26" customHeight="1">
      <x:c r="A18" s="2" t="str">
        <x:v>X-10</x:v>
      </x:c>
      <x:c r="B18" s="2" t="str">
        <x:v>Х-10.mov</x:v>
      </x:c>
      <x:c r="C18" s="2" t="str">
        <x:v>без нарушения</x:v>
      </x:c>
      <x:c r="D18" s="2"/>
      <x:c r="E18" s="11"/>
      <x:c r="F18" s="11" t="n">
        <x:v>15.567</x:v>
      </x:c>
      <x:c r="G18" s="11" t="n">
        <x:v>3.076329231262207</x:v>
      </x:c>
      <x:c r="H18" s="11" t="n">
        <x:v>30</x:v>
      </x:c>
      <x:c r="I18" s="2" t="str">
        <x:v>464 × 848</x:v>
      </x:c>
      <x:c r="J18" s="2" t="str">
        <x:v>X-10</x:v>
      </x:c>
      <x:c r="K18" s="2" t="n">
        <x:v>1</x:v>
      </x:c>
      <x:c r="L18" s="12" t="str"/>
      <x:c r="M18" s="13"/>
      <x:c r="N18" s="13" t="str">
        <x:v>Не просмотрено</x:v>
      </x:c>
    </x:row>
    <x:row r="19" ht="26" customHeight="1">
      <x:c r="A19" s="2" t="str">
        <x:v>X-11</x:v>
      </x:c>
      <x:c r="B19" s="2" t="str">
        <x:v>Х-11.mov</x:v>
      </x:c>
      <x:c r="C19" s="2" t="str">
        <x:v>нарушение</x:v>
      </x:c>
      <x:c r="D19" s="2" t="str">
        <x:v>18 секунда</x:v>
      </x:c>
      <x:c r="E19" s="11" t="n">
        <x:v>18</x:v>
      </x:c>
      <x:c r="F19" s="11" t="n">
        <x:v>25.6</x:v>
      </x:c>
      <x:c r="G19" s="11" t="n">
        <x:v>4.9622802734375</x:v>
      </x:c>
      <x:c r="H19" s="11" t="n">
        <x:v>29.8828125</x:v>
      </x:c>
      <x:c r="I19" s="2" t="str">
        <x:v>464 × 848</x:v>
      </x:c>
      <x:c r="J19" s="2" t="str">
        <x:v>X-11</x:v>
      </x:c>
      <x:c r="K19" s="2" t="n">
        <x:v>1</x:v>
      </x:c>
      <x:c r="L19" s="12" t="str"/>
      <x:c r="M19" s="13"/>
      <x:c r="N19" s="13" t="str">
        <x:v>Не просмотрено</x:v>
      </x:c>
    </x:row>
    <x:row r="20" ht="26" customHeight="1">
      <x:c r="A20" s="2" t="str">
        <x:v>X-12</x:v>
      </x:c>
      <x:c r="B20" s="2" t="str">
        <x:v>Х-12.mov</x:v>
      </x:c>
      <x:c r="C20" s="2" t="str">
        <x:v>без нарушения</x:v>
      </x:c>
      <x:c r="D20" s="2"/>
      <x:c r="E20" s="11"/>
      <x:c r="F20" s="11" t="n">
        <x:v>42.3</x:v>
      </x:c>
      <x:c r="G20" s="11" t="n">
        <x:v>8.14636516571045</x:v>
      </x:c>
      <x:c r="H20" s="11" t="n">
        <x:v>29.95271867612293</x:v>
      </x:c>
      <x:c r="I20" s="2" t="str">
        <x:v>464 × 848</x:v>
      </x:c>
      <x:c r="J20" s="2" t="str">
        <x:v>X-12</x:v>
      </x:c>
      <x:c r="K20" s="2" t="n">
        <x:v>1</x:v>
      </x:c>
      <x:c r="L20" s="12" t="str"/>
      <x:c r="M20" s="13"/>
      <x:c r="N20" s="13" t="str">
        <x:v>Не просмотрено</x:v>
      </x:c>
    </x:row>
    <x:row r="21" ht="26" customHeight="1">
      <x:c r="A21" s="2" t="str">
        <x:v>X-13</x:v>
      </x:c>
      <x:c r="B21" s="2" t="str">
        <x:v>Х-13.mov</x:v>
      </x:c>
      <x:c r="C21" s="2" t="str">
        <x:v>нарушение</x:v>
      </x:c>
      <x:c r="D21" s="2" t="str">
        <x:v>47 секунда</x:v>
      </x:c>
      <x:c r="E21" s="11" t="n">
        <x:v>47</x:v>
      </x:c>
      <x:c r="F21" s="11" t="n">
        <x:v>65.3</x:v>
      </x:c>
      <x:c r="G21" s="11" t="n">
        <x:v>12.586852073669434</x:v>
      </x:c>
      <x:c r="H21" s="11" t="n">
        <x:v>29.95405819295559</x:v>
      </x:c>
      <x:c r="I21" s="2" t="str">
        <x:v>464 × 848</x:v>
      </x:c>
      <x:c r="J21" s="2" t="str">
        <x:v>X-13</x:v>
      </x:c>
      <x:c r="K21" s="2" t="n">
        <x:v>1</x:v>
      </x:c>
      <x:c r="L21" s="12" t="str"/>
      <x:c r="M21" s="13"/>
      <x:c r="N21" s="13" t="str">
        <x:v>Не просмотрено</x:v>
      </x:c>
    </x:row>
    <x:row r="22" ht="26" customHeight="1">
      <x:c r="A22" s="2" t="str">
        <x:v>X-14</x:v>
      </x:c>
      <x:c r="B22" s="2" t="str">
        <x:v>Х-14.mov</x:v>
      </x:c>
      <x:c r="C22" s="2" t="str">
        <x:v>без нарушения</x:v>
      </x:c>
      <x:c r="D22" s="2"/>
      <x:c r="E22" s="11"/>
      <x:c r="F22" s="11" t="n">
        <x:v>142.534</x:v>
      </x:c>
      <x:c r="G22" s="11" t="n">
        <x:v>27.388503074645996</x:v>
      </x:c>
      <x:c r="H22" s="11" t="n">
        <x:v>29.978952291861553</x:v>
      </x:c>
      <x:c r="I22" s="2" t="str">
        <x:v>464 × 848</x:v>
      </x:c>
      <x:c r="J22" s="2" t="str">
        <x:v>X-14</x:v>
      </x:c>
      <x:c r="K22" s="2" t="n">
        <x:v>1</x:v>
      </x:c>
      <x:c r="L22" s="12" t="str"/>
      <x:c r="M22" s="13"/>
      <x:c r="N22" s="13" t="str">
        <x:v>Не просмотрено</x:v>
      </x:c>
    </x:row>
    <x:row r="23" ht="26" customHeight="1">
      <x:c r="A23" s="2" t="str">
        <x:v>X-15</x:v>
      </x:c>
      <x:c r="B23" s="2" t="str">
        <x:v>Х-15.mov</x:v>
      </x:c>
      <x:c r="C23" s="2" t="str">
        <x:v>нарушение</x:v>
      </x:c>
      <x:c r="D23" s="2" t="str">
        <x:v>15 секунда</x:v>
      </x:c>
      <x:c r="E23" s="11" t="n">
        <x:v>15</x:v>
      </x:c>
      <x:c r="F23" s="11" t="n">
        <x:v>20.867</x:v>
      </x:c>
      <x:c r="G23" s="11" t="n">
        <x:v>4.040088653564453</x:v>
      </x:c>
      <x:c r="H23" s="11" t="n">
        <x:v>29.904153354632587</x:v>
      </x:c>
      <x:c r="I23" s="2" t="str">
        <x:v>464 × 848</x:v>
      </x:c>
      <x:c r="J23" s="2" t="str">
        <x:v>X-15</x:v>
      </x:c>
      <x:c r="K23" s="2" t="n">
        <x:v>1</x:v>
      </x:c>
      <x:c r="L23" s="12" t="str"/>
      <x:c r="M23" s="13"/>
      <x:c r="N23" s="13" t="str">
        <x:v>Не просмотрено</x:v>
      </x:c>
    </x:row>
    <x:row r="24" ht="26" customHeight="1">
      <x:c r="A24" s="2" t="str">
        <x:v>X-16</x:v>
      </x:c>
      <x:c r="B24" s="2" t="str">
        <x:v>Х-16.mov</x:v>
      </x:c>
      <x:c r="C24" s="2" t="str">
        <x:v>без нарушения</x:v>
      </x:c>
      <x:c r="D24" s="2"/>
      <x:c r="E24" s="11"/>
      <x:c r="F24" s="11" t="n">
        <x:v>22.734</x:v>
      </x:c>
      <x:c r="G24" s="11" t="n">
        <x:v>4.3933210372924805</x:v>
      </x:c>
      <x:c r="H24" s="11" t="n">
        <x:v>29.912023460410555</x:v>
      </x:c>
      <x:c r="I24" s="2" t="str">
        <x:v>464 × 848</x:v>
      </x:c>
      <x:c r="J24" s="2" t="str">
        <x:v>X-16</x:v>
      </x:c>
      <x:c r="K24" s="2" t="n">
        <x:v>1</x:v>
      </x:c>
      <x:c r="L24" s="12" t="str"/>
      <x:c r="M24" s="13"/>
      <x:c r="N24" s="13" t="str">
        <x:v>Не просмотрено</x:v>
      </x:c>
    </x:row>
    <x:row r="25" ht="26" customHeight="1">
      <x:c r="A25" s="2" t="str">
        <x:v>X-17</x:v>
      </x:c>
      <x:c r="B25" s="2" t="str">
        <x:v>Х-17.mov</x:v>
      </x:c>
      <x:c r="C25" s="2" t="str">
        <x:v>нарушение</x:v>
      </x:c>
      <x:c r="D25" s="2" t="str">
        <x:v>7 секунда</x:v>
      </x:c>
      <x:c r="E25" s="11" t="n">
        <x:v>7</x:v>
      </x:c>
      <x:c r="F25" s="11" t="n">
        <x:v>14.734</x:v>
      </x:c>
      <x:c r="G25" s="11" t="n">
        <x:v>2.8915481567382812</x:v>
      </x:c>
      <x:c r="H25" s="11" t="n">
        <x:v>30</x:v>
      </x:c>
      <x:c r="I25" s="2" t="str">
        <x:v>464 × 848</x:v>
      </x:c>
      <x:c r="J25" s="2" t="str">
        <x:v>X-17</x:v>
      </x:c>
      <x:c r="K25" s="2" t="n">
        <x:v>1</x:v>
      </x:c>
      <x:c r="L25" s="12" t="str"/>
      <x:c r="M25" s="13"/>
      <x:c r="N25" s="13" t="str">
        <x:v>Не просмотрено</x:v>
      </x:c>
    </x:row>
    <x:row r="26" ht="26" customHeight="1">
      <x:c r="A26" s="2" t="str">
        <x:v>X-18</x:v>
      </x:c>
      <x:c r="B26" s="2" t="str">
        <x:v>Х-18.mov</x:v>
      </x:c>
      <x:c r="C26" s="2" t="str">
        <x:v>нарушение</x:v>
      </x:c>
      <x:c r="D26" s="2" t="str">
        <x:v>20 секунда</x:v>
      </x:c>
      <x:c r="E26" s="11" t="n">
        <x:v>20</x:v>
      </x:c>
      <x:c r="F26" s="11" t="n">
        <x:v>22.6</x:v>
      </x:c>
      <x:c r="G26" s="11" t="n">
        <x:v>4.369438171386719</x:v>
      </x:c>
      <x:c r="H26" s="11" t="n">
        <x:v>29.911504424778762</x:v>
      </x:c>
      <x:c r="I26" s="2" t="str">
        <x:v>464 × 848</x:v>
      </x:c>
      <x:c r="J26" s="2" t="str">
        <x:v>X-18</x:v>
      </x:c>
      <x:c r="K26" s="2" t="n">
        <x:v>1</x:v>
      </x:c>
      <x:c r="L26" s="12" t="str"/>
      <x:c r="M26" s="13"/>
      <x:c r="N26" s="13" t="str">
        <x:v>Не просмотрено</x:v>
      </x:c>
    </x:row>
    <x:row r="27" ht="26" customHeight="1">
      <x:c r="A27" s="2" t="str">
        <x:v>X-19</x:v>
      </x:c>
      <x:c r="B27" s="2" t="str">
        <x:v>Х-19.mov</x:v>
      </x:c>
      <x:c r="C27" s="2" t="str">
        <x:v>без нарушения</x:v>
      </x:c>
      <x:c r="D27" s="2"/>
      <x:c r="E27" s="11"/>
      <x:c r="F27" s="11" t="n">
        <x:v>57.434</x:v>
      </x:c>
      <x:c r="G27" s="11" t="n">
        <x:v>11.065765380859375</x:v>
      </x:c>
      <x:c r="H27" s="11" t="n">
        <x:v>29.947765525246663</x:v>
      </x:c>
      <x:c r="I27" s="2" t="str">
        <x:v>464 × 848</x:v>
      </x:c>
      <x:c r="J27" s="2" t="str">
        <x:v>X-19</x:v>
      </x:c>
      <x:c r="K27" s="2" t="n">
        <x:v>1</x:v>
      </x:c>
      <x:c r="L27" s="12" t="str"/>
      <x:c r="M27" s="13"/>
      <x:c r="N27" s="13" t="str">
        <x:v>Не просмотрено</x:v>
      </x:c>
    </x:row>
    <x:row r="28" ht="26" customHeight="1">
      <x:c r="A28" s="2" t="str">
        <x:v>X-20</x:v>
      </x:c>
      <x:c r="B28" s="2" t="str">
        <x:v>Х-20.mov</x:v>
      </x:c>
      <x:c r="C28" s="2" t="str">
        <x:v>нарушение</x:v>
      </x:c>
      <x:c r="D28" s="2" t="str">
        <x:v>5 секунда</x:v>
      </x:c>
      <x:c r="E28" s="11" t="n">
        <x:v>5</x:v>
      </x:c>
      <x:c r="F28" s="11" t="n">
        <x:v>11.634</x:v>
      </x:c>
      <x:c r="G28" s="11" t="n">
        <x:v>2.3144149780273438</x:v>
      </x:c>
      <x:c r="H28" s="11" t="n">
        <x:v>30</x:v>
      </x:c>
      <x:c r="I28" s="2" t="str">
        <x:v>464 × 848</x:v>
      </x:c>
      <x:c r="J28" s="2" t="str">
        <x:v>X-20</x:v>
      </x:c>
      <x:c r="K28" s="2" t="n">
        <x:v>1</x:v>
      </x:c>
      <x:c r="L28" s="12" t="str"/>
      <x:c r="M28" s="13"/>
      <x:c r="N28" s="13" t="str">
        <x:v>Не просмотрено</x:v>
      </x:c>
    </x:row>
    <x:row r="29" ht="26" customHeight="1">
      <x:c r="A29" s="2" t="str">
        <x:v>X-21</x:v>
      </x:c>
      <x:c r="B29" s="2" t="str">
        <x:v>Х-21.mov</x:v>
      </x:c>
      <x:c r="C29" s="2" t="str">
        <x:v>без нарушения</x:v>
      </x:c>
      <x:c r="D29" s="2"/>
      <x:c r="E29" s="11"/>
      <x:c r="F29" s="11" t="n">
        <x:v>19.6</x:v>
      </x:c>
      <x:c r="G29" s="11" t="n">
        <x:v>3.8459596633911133</x:v>
      </x:c>
      <x:c r="H29" s="11" t="n">
        <x:v>29.846938775510203</x:v>
      </x:c>
      <x:c r="I29" s="2" t="str">
        <x:v>464 × 848</x:v>
      </x:c>
      <x:c r="J29" s="2" t="str">
        <x:v>X-21</x:v>
      </x:c>
      <x:c r="K29" s="2" t="n">
        <x:v>1</x:v>
      </x:c>
      <x:c r="L29" s="12" t="str"/>
      <x:c r="M29" s="13"/>
      <x:c r="N29" s="13" t="str">
        <x:v>Не просмотрено</x:v>
      </x:c>
    </x:row>
    <x:row r="30" ht="26" customHeight="1">
      <x:c r="A30" s="2" t="str">
        <x:v>X-22</x:v>
      </x:c>
      <x:c r="B30" s="2" t="str">
        <x:v>Х-22.mov</x:v>
      </x:c>
      <x:c r="C30" s="2" t="str">
        <x:v>нарушение</x:v>
      </x:c>
      <x:c r="D30" s="2" t="str">
        <x:v>14 секунда</x:v>
      </x:c>
      <x:c r="E30" s="11" t="n">
        <x:v>14</x:v>
      </x:c>
      <x:c r="F30" s="11" t="n">
        <x:v>21.034</x:v>
      </x:c>
      <x:c r="G30" s="11" t="n">
        <x:v>4.062230110168457</x:v>
      </x:c>
      <x:c r="H30" s="11" t="n">
        <x:v>29.857369255150555</x:v>
      </x:c>
      <x:c r="I30" s="2" t="str">
        <x:v>464 × 848</x:v>
      </x:c>
      <x:c r="J30" s="2" t="str">
        <x:v>X-22</x:v>
      </x:c>
      <x:c r="K30" s="2" t="n">
        <x:v>1</x:v>
      </x:c>
      <x:c r="L30" s="12" t="str"/>
      <x:c r="M30" s="13"/>
      <x:c r="N30" s="13" t="str">
        <x:v>Не просмотрено</x:v>
      </x:c>
    </x:row>
    <x:row r="31" ht="26" customHeight="1">
      <x:c r="A31" s="2" t="str">
        <x:v>X-23</x:v>
      </x:c>
      <x:c r="B31" s="2" t="str">
        <x:v>Х-23.mov</x:v>
      </x:c>
      <x:c r="C31" s="2" t="str">
        <x:v>без нарушения</x:v>
      </x:c>
      <x:c r="D31" s="2"/>
      <x:c r="E31" s="11"/>
      <x:c r="F31" s="11" t="n">
        <x:v>18.267</x:v>
      </x:c>
      <x:c r="G31" s="11" t="n">
        <x:v>3.5290231704711914</x:v>
      </x:c>
      <x:c r="H31" s="11" t="n">
        <x:v>29.835766423357665</x:v>
      </x:c>
      <x:c r="I31" s="2" t="str">
        <x:v>464 × 848</x:v>
      </x:c>
      <x:c r="J31" s="2" t="str">
        <x:v>X-23</x:v>
      </x:c>
      <x:c r="K31" s="2" t="n">
        <x:v>1</x:v>
      </x:c>
      <x:c r="L31" s="12" t="str"/>
      <x:c r="M31" s="13"/>
      <x:c r="N31" s="13" t="str">
        <x:v>Не просмотрено</x:v>
      </x:c>
    </x:row>
    <x:row r="32" ht="26" customHeight="1">
      <x:c r="A32" s="2" t="str">
        <x:v>X-24</x:v>
      </x:c>
      <x:c r="B32" s="2" t="str">
        <x:v>Х-24.mov</x:v>
      </x:c>
      <x:c r="C32" s="2" t="str">
        <x:v>нарушение</x:v>
      </x:c>
      <x:c r="D32" s="2" t="str">
        <x:v>8 секунда</x:v>
      </x:c>
      <x:c r="E32" s="11" t="n">
        <x:v>8</x:v>
      </x:c>
      <x:c r="F32" s="11" t="n">
        <x:v>14.7</x:v>
      </x:c>
      <x:c r="G32" s="11" t="n">
        <x:v>2.903331756591797</x:v>
      </x:c>
      <x:c r="H32" s="11" t="n">
        <x:v>30</x:v>
      </x:c>
      <x:c r="I32" s="2" t="str">
        <x:v>464 × 848</x:v>
      </x:c>
      <x:c r="J32" s="2" t="str">
        <x:v>X-24</x:v>
      </x:c>
      <x:c r="K32" s="2" t="n">
        <x:v>1</x:v>
      </x:c>
      <x:c r="L32" s="12" t="str"/>
      <x:c r="M32" s="13"/>
      <x:c r="N32" s="13" t="str">
        <x:v>Не просмотрено</x:v>
      </x:c>
    </x:row>
    <x:row r="33" ht="26" customHeight="1">
      <x:c r="A33" s="2" t="str">
        <x:v>X-25</x:v>
      </x:c>
      <x:c r="B33" s="2" t="str">
        <x:v>Х-25.mov</x:v>
      </x:c>
      <x:c r="C33" s="2" t="str">
        <x:v>без нарушения</x:v>
      </x:c>
      <x:c r="D33" s="2"/>
      <x:c r="E33" s="11"/>
      <x:c r="F33" s="11" t="n">
        <x:v>31.7</x:v>
      </x:c>
      <x:c r="G33" s="11" t="n">
        <x:v>6.107209205627441</x:v>
      </x:c>
      <x:c r="H33" s="11" t="n">
        <x:v>29.968454258675077</x:v>
      </x:c>
      <x:c r="I33" s="2" t="str">
        <x:v>464 × 848</x:v>
      </x:c>
      <x:c r="J33" s="2" t="str">
        <x:v>X-25</x:v>
      </x:c>
      <x:c r="K33" s="2" t="n">
        <x:v>1</x:v>
      </x:c>
      <x:c r="L33" s="12" t="str"/>
      <x:c r="M33" s="13"/>
      <x:c r="N33" s="13" t="str">
        <x:v>Не просмотрено</x:v>
      </x:c>
    </x:row>
    <x:row r="34" ht="26" customHeight="1">
      <x:c r="A34" s="2" t="str">
        <x:v>X-26</x:v>
      </x:c>
      <x:c r="B34" s="2" t="str">
        <x:v>Х-26.mov</x:v>
      </x:c>
      <x:c r="C34" s="2" t="str">
        <x:v>нарушение</x:v>
      </x:c>
      <x:c r="D34" s="2" t="str">
        <x:v>9 секунда</x:v>
      </x:c>
      <x:c r="E34" s="11" t="n">
        <x:v>9</x:v>
      </x:c>
      <x:c r="F34" s="11" t="n">
        <x:v>19.8</x:v>
      </x:c>
      <x:c r="G34" s="11" t="n">
        <x:v>3.849968910217285</x:v>
      </x:c>
      <x:c r="H34" s="11" t="n">
        <x:v>29.8989898989899</x:v>
      </x:c>
      <x:c r="I34" s="2" t="str">
        <x:v>464 × 848</x:v>
      </x:c>
      <x:c r="J34" s="2" t="str">
        <x:v>X-26</x:v>
      </x:c>
      <x:c r="K34" s="2" t="n">
        <x:v>1</x:v>
      </x:c>
      <x:c r="L34" s="12" t="str"/>
      <x:c r="M34" s="13"/>
      <x:c r="N34" s="13" t="str">
        <x:v>Не просмотрено</x:v>
      </x:c>
    </x:row>
    <x:row r="35" ht="26" customHeight="1">
      <x:c r="A35" s="2" t="str">
        <x:v>X-27</x:v>
      </x:c>
      <x:c r="B35" s="2" t="str">
        <x:v>Х-27.mov</x:v>
      </x:c>
      <x:c r="C35" s="2" t="str">
        <x:v>без нарушения</x:v>
      </x:c>
      <x:c r="D35" s="2"/>
      <x:c r="E35" s="11"/>
      <x:c r="F35" s="11" t="n">
        <x:v>26.434</x:v>
      </x:c>
      <x:c r="G35" s="11" t="n">
        <x:v>5.155996322631836</x:v>
      </x:c>
      <x:c r="H35" s="11" t="n">
        <x:v>29.92433795712484</x:v>
      </x:c>
      <x:c r="I35" s="2" t="str">
        <x:v>464 × 848</x:v>
      </x:c>
      <x:c r="J35" s="2" t="str">
        <x:v>X-27</x:v>
      </x:c>
      <x:c r="K35" s="2" t="n">
        <x:v>1</x:v>
      </x:c>
      <x:c r="L35" s="12" t="str"/>
      <x:c r="M35" s="13"/>
      <x:c r="N35" s="13" t="str">
        <x:v>Не просмотрено</x:v>
      </x:c>
    </x:row>
    <x:row r="36" ht="26" customHeight="1">
      <x:c r="A36" s="2" t="str">
        <x:v>X-28</x:v>
      </x:c>
      <x:c r="B36" s="2" t="str">
        <x:v>Х-28.mov</x:v>
      </x:c>
      <x:c r="C36" s="2" t="str">
        <x:v>нарушение</x:v>
      </x:c>
      <x:c r="D36" s="2" t="str">
        <x:v>7 секунда</x:v>
      </x:c>
      <x:c r="E36" s="11" t="n">
        <x:v>7</x:v>
      </x:c>
      <x:c r="F36" s="11" t="n">
        <x:v>16.534</x:v>
      </x:c>
      <x:c r="G36" s="11" t="n">
        <x:v>3.188037872314453</x:v>
      </x:c>
      <x:c r="H36" s="11" t="n">
        <x:v>29.758064516129032</x:v>
      </x:c>
      <x:c r="I36" s="2" t="str">
        <x:v>464 × 848</x:v>
      </x:c>
      <x:c r="J36" s="2" t="str">
        <x:v>X-28</x:v>
      </x:c>
      <x:c r="K36" s="2" t="n">
        <x:v>1</x:v>
      </x:c>
      <x:c r="L36" s="12" t="str"/>
      <x:c r="M36" s="13"/>
      <x:c r="N36" s="13" t="str">
        <x:v>Не просмотрено</x:v>
      </x:c>
    </x:row>
    <x:row r="37" ht="26" customHeight="1">
      <x:c r="A37" s="2" t="str">
        <x:v>X-29</x:v>
      </x:c>
      <x:c r="B37" s="2" t="str">
        <x:v>Х-29.mov</x:v>
      </x:c>
      <x:c r="C37" s="2" t="str">
        <x:v>без нарушения</x:v>
      </x:c>
      <x:c r="D37" s="2"/>
      <x:c r="E37" s="11"/>
      <x:c r="F37" s="11" t="n">
        <x:v>17.3</x:v>
      </x:c>
      <x:c r="G37" s="11" t="n">
        <x:v>3.3515701293945312</x:v>
      </x:c>
      <x:c r="H37" s="11" t="n">
        <x:v>29.76878612716763</x:v>
      </x:c>
      <x:c r="I37" s="2" t="str">
        <x:v>464 × 848</x:v>
      </x:c>
      <x:c r="J37" s="2" t="str">
        <x:v>X-29</x:v>
      </x:c>
      <x:c r="K37" s="2" t="n">
        <x:v>1</x:v>
      </x:c>
      <x:c r="L37" s="12" t="str"/>
      <x:c r="M37" s="13"/>
      <x:c r="N37" s="13" t="str">
        <x:v>Не просмотрено</x:v>
      </x:c>
    </x:row>
    <x:row r="38" ht="26" customHeight="1">
      <x:c r="A38" s="2" t="str">
        <x:v>X-30</x:v>
      </x:c>
      <x:c r="B38" s="2" t="str">
        <x:v>Х-30.mov</x:v>
      </x:c>
      <x:c r="C38" s="2" t="str">
        <x:v>нарушение</x:v>
      </x:c>
      <x:c r="D38" s="2" t="str">
        <x:v>13 секунда</x:v>
      </x:c>
      <x:c r="E38" s="11" t="n">
        <x:v>13</x:v>
      </x:c>
      <x:c r="F38" s="11" t="n">
        <x:v>18.8</x:v>
      </x:c>
      <x:c r="G38" s="11" t="n">
        <x:v>3.683720588684082</x:v>
      </x:c>
      <x:c r="H38" s="11" t="n">
        <x:v>29.893617021276597</x:v>
      </x:c>
      <x:c r="I38" s="2" t="str">
        <x:v>464 × 848</x:v>
      </x:c>
      <x:c r="J38" s="2" t="str">
        <x:v>X-30</x:v>
      </x:c>
      <x:c r="K38" s="2" t="n">
        <x:v>1</x:v>
      </x:c>
      <x:c r="L38" s="12" t="str"/>
      <x:c r="M38" s="13"/>
      <x:c r="N38" s="13" t="str">
        <x:v>Не просмотрено</x:v>
      </x:c>
    </x:row>
    <x:row r="39" ht="26" customHeight="1">
      <x:c r="A39" s="2" t="str">
        <x:v>X-31</x:v>
      </x:c>
      <x:c r="B39" s="2" t="str">
        <x:v>Х-31.mov</x:v>
      </x:c>
      <x:c r="C39" s="2" t="str">
        <x:v>без нарушения</x:v>
      </x:c>
      <x:c r="D39" s="2"/>
      <x:c r="E39" s="11"/>
      <x:c r="F39" s="11" t="n">
        <x:v>23.8</x:v>
      </x:c>
      <x:c r="G39" s="11" t="n">
        <x:v>4.6292724609375</x:v>
      </x:c>
      <x:c r="H39" s="11" t="n">
        <x:v>29.873949579831933</x:v>
      </x:c>
      <x:c r="I39" s="2" t="str">
        <x:v>464 × 848</x:v>
      </x:c>
      <x:c r="J39" s="2" t="str">
        <x:v>X-31</x:v>
      </x:c>
      <x:c r="K39" s="2" t="n">
        <x:v>1</x:v>
      </x:c>
      <x:c r="L39" s="12" t="str"/>
      <x:c r="M39" s="13"/>
      <x:c r="N39" s="13" t="str">
        <x:v>Не просмотрено</x:v>
      </x:c>
    </x:row>
    <x:row r="40" ht="26" customHeight="1">
      <x:c r="A40" s="2" t="str">
        <x:v>X-32</x:v>
      </x:c>
      <x:c r="B40" s="2" t="str">
        <x:v>Х-32.mov</x:v>
      </x:c>
      <x:c r="C40" s="2" t="str">
        <x:v>нарушение</x:v>
      </x:c>
      <x:c r="D40" s="2" t="str">
        <x:v>5 секунда</x:v>
      </x:c>
      <x:c r="E40" s="11" t="n">
        <x:v>5</x:v>
      </x:c>
      <x:c r="F40" s="11" t="n">
        <x:v>21.3</x:v>
      </x:c>
      <x:c r="G40" s="11" t="n">
        <x:v>4.127335548400879</x:v>
      </x:c>
      <x:c r="H40" s="11" t="n">
        <x:v>29.906103286384976</x:v>
      </x:c>
      <x:c r="I40" s="2" t="str">
        <x:v>464 × 848</x:v>
      </x:c>
      <x:c r="J40" s="2" t="str">
        <x:v>X-32</x:v>
      </x:c>
      <x:c r="K40" s="2" t="n">
        <x:v>1</x:v>
      </x:c>
      <x:c r="L40" s="12" t="str"/>
      <x:c r="M40" s="13"/>
      <x:c r="N40" s="13" t="str">
        <x:v>Не просмотрено</x:v>
      </x:c>
    </x:row>
    <x:row r="41" ht="26" customHeight="1">
      <x:c r="A41" s="2" t="str">
        <x:v>X-33</x:v>
      </x:c>
      <x:c r="B41" s="2" t="str">
        <x:v>Х-33.mov</x:v>
      </x:c>
      <x:c r="C41" s="2" t="str">
        <x:v>нарушение</x:v>
      </x:c>
      <x:c r="D41" s="2" t="str">
        <x:v>6 секунда</x:v>
      </x:c>
      <x:c r="E41" s="11" t="n">
        <x:v>6</x:v>
      </x:c>
      <x:c r="F41" s="11" t="n">
        <x:v>14.334</x:v>
      </x:c>
      <x:c r="G41" s="11" t="n">
        <x:v>2.7928314208984375</x:v>
      </x:c>
      <x:c r="H41" s="11" t="n">
        <x:v>30</x:v>
      </x:c>
      <x:c r="I41" s="2" t="str">
        <x:v>464 × 848</x:v>
      </x:c>
      <x:c r="J41" s="2" t="str">
        <x:v>X-33</x:v>
      </x:c>
      <x:c r="K41" s="2" t="n">
        <x:v>1</x:v>
      </x:c>
      <x:c r="L41" s="12" t="str"/>
      <x:c r="M41" s="13"/>
      <x:c r="N41" s="13" t="str">
        <x:v>Не просмотрено</x:v>
      </x:c>
    </x:row>
    <x:row r="42" ht="26" customHeight="1">
      <x:c r="A42" s="2" t="str">
        <x:v>X-34</x:v>
      </x:c>
      <x:c r="B42" s="2" t="str">
        <x:v>Х-34.mov</x:v>
      </x:c>
      <x:c r="C42" s="2" t="str">
        <x:v>нарушение</x:v>
      </x:c>
      <x:c r="D42" s="2" t="str">
        <x:v>13 секунда</x:v>
      </x:c>
      <x:c r="E42" s="11" t="n">
        <x:v>13</x:v>
      </x:c>
      <x:c r="F42" s="11" t="n">
        <x:v>17.734</x:v>
      </x:c>
      <x:c r="G42" s="11" t="n">
        <x:v>3.4273624420166016</x:v>
      </x:c>
      <x:c r="H42" s="11" t="n">
        <x:v>29.887218045112782</x:v>
      </x:c>
      <x:c r="I42" s="2" t="str">
        <x:v>464 × 848</x:v>
      </x:c>
      <x:c r="J42" s="2" t="str">
        <x:v>X-34</x:v>
      </x:c>
      <x:c r="K42" s="2" t="n">
        <x:v>1</x:v>
      </x:c>
      <x:c r="L42" s="12" t="str"/>
      <x:c r="M42" s="13"/>
      <x:c r="N42" s="13" t="str">
        <x:v>Не просмотрено</x:v>
      </x:c>
    </x:row>
    <x:row r="43" ht="26" customHeight="1">
      <x:c r="A43" s="2" t="str">
        <x:v>X-35</x:v>
      </x:c>
      <x:c r="B43" s="2" t="str">
        <x:v>Х-35.mov</x:v>
      </x:c>
      <x:c r="C43" s="2" t="str">
        <x:v>без нарушения</x:v>
      </x:c>
      <x:c r="D43" s="2"/>
      <x:c r="E43" s="11"/>
      <x:c r="F43" s="11" t="n">
        <x:v>56.767</x:v>
      </x:c>
      <x:c r="G43" s="11" t="n">
        <x:v>10.926213264465332</x:v>
      </x:c>
      <x:c r="H43" s="11" t="n">
        <x:v>29.947152084556663</x:v>
      </x:c>
      <x:c r="I43" s="2" t="str">
        <x:v>464 × 848</x:v>
      </x:c>
      <x:c r="J43" s="2" t="str">
        <x:v>X-35</x:v>
      </x:c>
      <x:c r="K43" s="2" t="n">
        <x:v>1</x:v>
      </x:c>
      <x:c r="L43" s="12" t="str"/>
      <x:c r="M43" s="13"/>
      <x:c r="N43" s="13" t="str">
        <x:v>Не просмотрено</x:v>
      </x:c>
    </x:row>
    <x:row r="44" ht="26" customHeight="1">
      <x:c r="A44" s="2" t="str">
        <x:v>X-37</x:v>
      </x:c>
      <x:c r="B44" s="2" t="str">
        <x:v>Х-37.mov</x:v>
      </x:c>
      <x:c r="C44" s="2" t="str">
        <x:v>без нарушения</x:v>
      </x:c>
      <x:c r="D44" s="2"/>
      <x:c r="E44" s="11"/>
      <x:c r="F44" s="11" t="n">
        <x:v>15.867</x:v>
      </x:c>
      <x:c r="G44" s="11" t="n">
        <x:v>3.096682548522949</x:v>
      </x:c>
      <x:c r="H44" s="11" t="n">
        <x:v>29.810924369747898</x:v>
      </x:c>
      <x:c r="I44" s="2" t="str">
        <x:v>464 × 848</x:v>
      </x:c>
      <x:c r="J44" s="2" t="str">
        <x:v>X-37</x:v>
      </x:c>
      <x:c r="K44" s="2" t="n">
        <x:v>1</x:v>
      </x:c>
      <x:c r="L44" s="12" t="str"/>
      <x:c r="M44" s="13"/>
      <x:c r="N44" s="13" t="str">
        <x:v>Не просмотрено</x:v>
      </x:c>
    </x:row>
    <x:row r="45" ht="26" customHeight="1">
      <x:c r="A45" s="2" t="str">
        <x:v>X-38</x:v>
      </x:c>
      <x:c r="B45" s="2" t="str">
        <x:v>Х-38.mov</x:v>
      </x:c>
      <x:c r="C45" s="2" t="str">
        <x:v>нарушение</x:v>
      </x:c>
      <x:c r="D45" s="2" t="str">
        <x:v>33 секунда</x:v>
      </x:c>
      <x:c r="E45" s="11" t="n">
        <x:v>33</x:v>
      </x:c>
      <x:c r="F45" s="11" t="n">
        <x:v>58.967</x:v>
      </x:c>
      <x:c r="G45" s="11" t="n">
        <x:v>11.369808197021484</x:v>
      </x:c>
      <x:c r="H45" s="11" t="n">
        <x:v>29.966082532504238</x:v>
      </x:c>
      <x:c r="I45" s="2" t="str">
        <x:v>464 × 848</x:v>
      </x:c>
      <x:c r="J45" s="2" t="str">
        <x:v>X-38</x:v>
      </x:c>
      <x:c r="K45" s="2" t="n">
        <x:v>1</x:v>
      </x:c>
      <x:c r="L45" s="12" t="str"/>
      <x:c r="M45" s="13"/>
      <x:c r="N45" s="13" t="str">
        <x:v>Не просмотрено</x:v>
      </x:c>
    </x:row>
    <x:row r="46" ht="26" customHeight="1">
      <x:c r="A46" s="2" t="str">
        <x:v>X-39</x:v>
      </x:c>
      <x:c r="B46" s="2" t="str">
        <x:v>Х-39.mov</x:v>
      </x:c>
      <x:c r="C46" s="2" t="str">
        <x:v>без нарушения</x:v>
      </x:c>
      <x:c r="D46" s="2"/>
      <x:c r="E46" s="11"/>
      <x:c r="F46" s="11" t="n">
        <x:v>78.734</x:v>
      </x:c>
      <x:c r="G46" s="11" t="n">
        <x:v>15.151341438293457</x:v>
      </x:c>
      <x:c r="H46" s="11" t="n">
        <x:v>29.9618966977138</x:v>
      </x:c>
      <x:c r="I46" s="2" t="str">
        <x:v>464 × 848</x:v>
      </x:c>
      <x:c r="J46" s="2" t="str">
        <x:v>X-39</x:v>
      </x:c>
      <x:c r="K46" s="2" t="n">
        <x:v>1</x:v>
      </x:c>
      <x:c r="L46" s="12" t="str"/>
      <x:c r="M46" s="13"/>
      <x:c r="N46" s="13" t="str">
        <x:v>Не просмотрено</x:v>
      </x:c>
    </x:row>
    <x:row r="47" ht="26" customHeight="1">
      <x:c r="A47" s="2" t="str">
        <x:v>X-40</x:v>
      </x:c>
      <x:c r="B47" s="2" t="str">
        <x:v>Х-40.mov</x:v>
      </x:c>
      <x:c r="C47" s="2" t="str">
        <x:v>нарушение</x:v>
      </x:c>
      <x:c r="D47" s="2" t="str">
        <x:v>17 секунда</x:v>
      </x:c>
      <x:c r="E47" s="11" t="n">
        <x:v>17</x:v>
      </x:c>
      <x:c r="F47" s="11" t="n">
        <x:v>25.267</x:v>
      </x:c>
      <x:c r="G47" s="11" t="n">
        <x:v>4.9325456619262695</x:v>
      </x:c>
      <x:c r="H47" s="11" t="n">
        <x:v>29.88126649076517</x:v>
      </x:c>
      <x:c r="I47" s="2" t="str">
        <x:v>464 × 848</x:v>
      </x:c>
      <x:c r="J47" s="2" t="str">
        <x:v>X-40</x:v>
      </x:c>
      <x:c r="K47" s="2" t="n">
        <x:v>1</x:v>
      </x:c>
      <x:c r="L47" s="12" t="str"/>
      <x:c r="M47" s="13"/>
      <x:c r="N47" s="13" t="str">
        <x:v>Не просмотрено</x:v>
      </x:c>
    </x:row>
    <x:row r="48" ht="26" customHeight="1">
      <x:c r="A48" s="2" t="str">
        <x:v>X-43</x:v>
      </x:c>
      <x:c r="B48" s="2" t="str">
        <x:v>Х-43.mov</x:v>
      </x:c>
      <x:c r="C48" s="2" t="str">
        <x:v>без нарушения</x:v>
      </x:c>
      <x:c r="D48" s="2"/>
      <x:c r="E48" s="11"/>
      <x:c r="F48" s="11" t="n">
        <x:v>23.367</x:v>
      </x:c>
      <x:c r="G48" s="11" t="n">
        <x:v>4.569561004638672</x:v>
      </x:c>
      <x:c r="H48" s="11" t="n">
        <x:v>29.914407988587733</x:v>
      </x:c>
      <x:c r="I48" s="2" t="str">
        <x:v>464 × 848</x:v>
      </x:c>
      <x:c r="J48" s="2" t="str">
        <x:v>X-43</x:v>
      </x:c>
      <x:c r="K48" s="2" t="n">
        <x:v>1</x:v>
      </x:c>
      <x:c r="L48" s="12" t="str"/>
      <x:c r="M48" s="13"/>
      <x:c r="N48" s="13" t="str">
        <x:v>Не просмотрено</x:v>
      </x:c>
    </x:row>
    <x:row r="49" ht="26" customHeight="1">
      <x:c r="A49" s="2" t="str">
        <x:v>X-44</x:v>
      </x:c>
      <x:c r="B49" s="2" t="str">
        <x:v>Х-44.mov</x:v>
      </x:c>
      <x:c r="C49" s="2" t="str">
        <x:v>нарушение</x:v>
      </x:c>
      <x:c r="D49" s="2" t="str">
        <x:v>16 секунда</x:v>
      </x:c>
      <x:c r="E49" s="11" t="n">
        <x:v>16</x:v>
      </x:c>
      <x:c r="F49" s="11" t="n">
        <x:v>20.434</x:v>
      </x:c>
      <x:c r="G49" s="11" t="n">
        <x:v>4.003711700439453</x:v>
      </x:c>
      <x:c r="H49" s="11" t="n">
        <x:v>29.9510603588907</x:v>
      </x:c>
      <x:c r="I49" s="2" t="str">
        <x:v>464 × 848</x:v>
      </x:c>
      <x:c r="J49" s="2" t="str">
        <x:v>X-44</x:v>
      </x:c>
      <x:c r="K49" s="2" t="n">
        <x:v>1</x:v>
      </x:c>
      <x:c r="L49" s="12" t="str"/>
      <x:c r="M49" s="13"/>
      <x:c r="N49" s="13" t="str">
        <x:v>Не просмотрено</x:v>
      </x:c>
    </x:row>
    <x:row r="50" ht="26" customHeight="1">
      <x:c r="A50" s="2" t="str">
        <x:v>X-45</x:v>
      </x:c>
      <x:c r="B50" s="2" t="str">
        <x:v>Х-45.mov</x:v>
      </x:c>
      <x:c r="C50" s="2" t="str">
        <x:v>без нарушения</x:v>
      </x:c>
      <x:c r="D50" s="2"/>
      <x:c r="E50" s="11"/>
      <x:c r="F50" s="11" t="n">
        <x:v>33.334</x:v>
      </x:c>
      <x:c r="G50" s="11" t="n">
        <x:v>6.474977493286133</x:v>
      </x:c>
      <x:c r="H50" s="11" t="n">
        <x:v>29.88</x:v>
      </x:c>
      <x:c r="I50" s="2" t="str">
        <x:v>464 × 848</x:v>
      </x:c>
      <x:c r="J50" s="2" t="str">
        <x:v>X-45</x:v>
      </x:c>
      <x:c r="K50" s="2" t="n">
        <x:v>1</x:v>
      </x:c>
      <x:c r="L50" s="12" t="str"/>
      <x:c r="M50" s="13"/>
      <x:c r="N50" s="13" t="str">
        <x:v>Не просмотрено</x:v>
      </x:c>
    </x:row>
    <x:row r="51" ht="26" customHeight="1">
      <x:c r="A51" s="2" t="str">
        <x:v>X-46</x:v>
      </x:c>
      <x:c r="B51" s="2" t="str">
        <x:v>Х-46.mov</x:v>
      </x:c>
      <x:c r="C51" s="2" t="str">
        <x:v>нарушение</x:v>
      </x:c>
      <x:c r="D51" s="2" t="str">
        <x:v>11 секунда</x:v>
      </x:c>
      <x:c r="E51" s="11" t="n">
        <x:v>11</x:v>
      </x:c>
      <x:c r="F51" s="11" t="n">
        <x:v>19.134</x:v>
      </x:c>
      <x:c r="G51" s="11" t="n">
        <x:v>3.7098731994628906</x:v>
      </x:c>
      <x:c r="H51" s="11" t="n">
        <x:v>29.89547038327526</x:v>
      </x:c>
      <x:c r="I51" s="2" t="str">
        <x:v>464 × 848</x:v>
      </x:c>
      <x:c r="J51" s="2" t="str">
        <x:v>X-46</x:v>
      </x:c>
      <x:c r="K51" s="2" t="n">
        <x:v>1</x:v>
      </x:c>
      <x:c r="L51" s="12" t="str"/>
      <x:c r="M51" s="13"/>
      <x:c r="N51" s="13" t="str">
        <x:v>Не просмотрено</x:v>
      </x:c>
    </x:row>
    <x:row r="52" ht="60" customHeight="1">
      <x:c r="A52" s="2" t="str">
        <x:v>X-47</x:v>
      </x:c>
      <x:c r="B52" s="2" t="str">
        <x:v>Х-47.mov</x:v>
      </x:c>
      <x:c r="C52" s="2" t="str">
        <x:v>нарушение</x:v>
      </x:c>
      <x:c r="D52" s="2" t="str">
        <x:v>1минута 8 секунда</x:v>
      </x:c>
      <x:c r="E52" s="11" t="n">
        <x:v>68</x:v>
      </x:c>
      <x:c r="F52" s="11" t="n">
        <x:v>72.7</x:v>
      </x:c>
      <x:c r="G52" s="11" t="n">
        <x:v>14.026220321655273</x:v>
      </x:c>
      <x:c r="H52" s="11" t="n">
        <x:v>29.944979367262725</x:v>
      </x:c>
      <x:c r="I52" s="2" t="str">
        <x:v>464 × 848</x:v>
      </x:c>
      <x:c r="J52" s="2" t="str">
        <x:v>X-4</x:v>
      </x:c>
      <x:c r="K52" s="2" t="n">
        <x:v>2</x:v>
      </x:c>
      <x:c r="L52" s="12" t="str">
        <x:v>Точный дубль: Х-4.mov; Разные таймкоды одинакового видео</x:v>
      </x:c>
      <x:c r="M52" s="13"/>
      <x:c r="N52" s="13" t="str">
        <x:v>Не просмотрено</x:v>
      </x:c>
    </x:row>
    <x:row r="53" ht="60" customHeight="1">
      <x:c r="A53" s="2" t="str">
        <x:v>X-48</x:v>
      </x:c>
      <x:c r="B53" s="2" t="str">
        <x:v>Х-48.mov</x:v>
      </x:c>
      <x:c r="C53" s="2" t="str">
        <x:v>без нарушения</x:v>
      </x:c>
      <x:c r="D53" s="2"/>
      <x:c r="E53" s="11"/>
      <x:c r="F53" s="11" t="n">
        <x:v>71.6</x:v>
      </x:c>
      <x:c r="G53" s="11" t="n">
        <x:v>13.778738975524902</x:v>
      </x:c>
      <x:c r="H53" s="11" t="n">
        <x:v>29.95810055865922</x:v>
      </x:c>
      <x:c r="I53" s="2" t="str">
        <x:v>464 × 848</x:v>
      </x:c>
      <x:c r="J53" s="2" t="str">
        <x:v>X-5</x:v>
      </x:c>
      <x:c r="K53" s="2" t="n">
        <x:v>2</x:v>
      </x:c>
      <x:c r="L53" s="12" t="str">
        <x:v>Точный дубль: Х-5.mov</x:v>
      </x:c>
      <x:c r="M53" s="13"/>
      <x:c r="N53" s="13" t="str">
        <x:v>Не просмотрено</x:v>
      </x:c>
    </x:row>
  </x:sheetData>
  <x:conditionalFormatting sqref="K12:K53">
    <x:cfRule type="cellIs" dxfId="0" priority="1" operator="greaterThan">
      <x:formula>1</x:formula>
    </x:cfRule>
  </x:conditionalFormatting>
  <x:dataValidations count="2">
    <x:dataValidation type="list" sqref="M12:M53">
      <x:formula1>"Разработка,Проверка,Отложено"</x:formula1>
    </x:dataValidation>
    <x:dataValidation type="list" sqref="N12:N53">
      <x:formula1>"Не просмотрено,Просмотрено,Нужен повтор"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245e6c6acf412f"/>
  </x:tableParts>
</x:worksheet>
</file>

<file path=xl/worksheets/sheet2.xml><?xml version="1.0" encoding="utf-8"?>
<x:worksheet xmlns:x="http://schemas.openxmlformats.org/spreadsheetml/2006/main">
  <x:sheetPr>
    <x:tabColor rgb="FFB65A80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9" hidden="0" customWidth="1"/>
    <x:col min="4" max="4" width="17" hidden="0" customWidth="1"/>
    <x:col min="5" max="5" width="17" hidden="0" customWidth="1"/>
    <x:col min="6" max="6" width="48" hidden="0" customWidth="1"/>
    <x:col min="7" max="7" width="40" hidden="0" customWidth="1"/>
    <x:col min="8" max="8" width="30" hidden="0" customWidth="1"/>
    <x:col min="9" max="9" width="36" hidden="0" customWidth="1"/>
    <x:col min="10" max="10" width="17" hidden="0" customWidth="1"/>
    <x:col min="11" max="11" width="29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Ручная разметка событий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6" t="str">
        <x:v>Сохранены 22 положительные отметки источника. В одном видео возможно несколько нарушений. Каждое событие — отдельная строка.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6" customHeight="1">
      <x:c r="A5" s="6" t="str">
        <x:v>X-4 и X-47: сохранить обе отметки, 57 и 68 с. При просмотре определить: отдельные события или один продолжающийся эпизод.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6" customHeight="1">
      <x:c r="A6" s="6" t="str">
        <x:v>Записывайте только видимые действия. Невидимые обстоятельства и спорные выводы вынесите в ограничения.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26" customHeight="1">
      <x:c r="A7" s="6" t="str">
        <x:v>Содержимое видео, кадры и их описания хранить локально; не передавать облачным AI-сервисам.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26" customHeight="1">
      <x:c r="A8" s="6" t="str">
        <x:v>Для отрицательных роликов сначала отмечайте просмотр в реестре. Дополнительные события добавляйте по необходимости.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26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48" customHeight="1">
      <x:c r="A10" s="10" t="str">
        <x:v>ID записи</x:v>
      </x:c>
      <x:c r="B10" s="10" t="str">
        <x:v>ID видео</x:v>
      </x:c>
      <x:c r="C10" s="10" t="str">
        <x:v>Файл</x:v>
      </x:c>
      <x:c r="D10" s="10" t="str">
        <x:v>Отметка источника, с</x:v>
      </x:c>
      <x:c r="E10" s="10" t="str">
        <x:v>Уточнённое время, с</x:v>
      </x:c>
      <x:c r="F10" s="10" t="str">
        <x:v>Что видно на видео</x:v>
      </x:c>
      <x:c r="G10" s="10" t="str">
        <x:v>Что не видно / неоднозначно</x:v>
      </x:c>
      <x:c r="H10" s="10" t="str">
        <x:v>Предполагаемый тип</x:v>
      </x:c>
      <x:c r="I10" s="10" t="str">
        <x:v>Кадр-доказательство</x:v>
      </x:c>
      <x:c r="J10" s="10" t="str">
        <x:v>ID правила</x:v>
      </x:c>
      <x:c r="K10" s="10" t="str">
        <x:v>Следующее действие</x:v>
      </x:c>
    </x:row>
    <x:row r="11" ht="48" customHeight="1">
      <x:c r="A11" s="2" t="str">
        <x:v>OBS-001</x:v>
      </x:c>
      <x:c r="B11" s="2" t="str">
        <x:v>X-1</x:v>
      </x:c>
      <x:c r="C11" s="2" t="str">
        <x:v>X-1.mov</x:v>
      </x:c>
      <x:c r="D11" s="11" t="n">
        <x:v>22</x:v>
      </x:c>
      <x:c r="E11" s="14"/>
      <x:c r="F11" s="15"/>
      <x:c r="G11" s="15"/>
      <x:c r="H11" s="15"/>
      <x:c r="I11" s="15"/>
      <x:c r="J11" s="13"/>
      <x:c r="K11" s="2" t="str">
        <x:f>IF(F11="","Описать действие",IF(E11="","Уточнить время",IF(H11="","Указать тип",IF(I11="","Добавить кадр",IF(J11="","Подобрать правило","Проверить правило вручную")))))</x:f>
        <x:v>Описать действие</x:v>
      </x:c>
    </x:row>
    <x:row r="12" ht="48" customHeight="1">
      <x:c r="A12" s="2" t="str">
        <x:v>OBS-002</x:v>
      </x:c>
      <x:c r="B12" s="2" t="str">
        <x:v>X-2</x:v>
      </x:c>
      <x:c r="C12" s="2" t="str">
        <x:v>X-2.mov</x:v>
      </x:c>
      <x:c r="D12" s="11" t="n">
        <x:v>10</x:v>
      </x:c>
      <x:c r="E12" s="14"/>
      <x:c r="F12" s="15"/>
      <x:c r="G12" s="15"/>
      <x:c r="H12" s="15"/>
      <x:c r="I12" s="15"/>
      <x:c r="J12" s="13"/>
      <x:c r="K12" s="2" t="str">
        <x:f>IF(F12="","Описать действие",IF(E12="","Уточнить время",IF(H12="","Указать тип",IF(I12="","Добавить кадр",IF(J12="","Подобрать правило","Проверить правило вручную")))))</x:f>
        <x:v>Описать действие</x:v>
      </x:c>
    </x:row>
    <x:row r="13" ht="48" customHeight="1">
      <x:c r="A13" s="2" t="str">
        <x:v>OBS-003</x:v>
      </x:c>
      <x:c r="B13" s="2" t="str">
        <x:v>X-4</x:v>
      </x:c>
      <x:c r="C13" s="2" t="str">
        <x:v>Х-4.mov</x:v>
      </x:c>
      <x:c r="D13" s="11" t="n">
        <x:v>57</x:v>
      </x:c>
      <x:c r="E13" s="14"/>
      <x:c r="F13" s="15"/>
      <x:c r="G13" s="15"/>
      <x:c r="H13" s="15"/>
      <x:c r="I13" s="15"/>
      <x:c r="J13" s="13"/>
      <x:c r="K13" s="2" t="str">
        <x:f>IF(F13="","Описать действие",IF(E13="","Уточнить время",IF(H13="","Указать тип",IF(I13="","Добавить кадр",IF(J13="","Подобрать правило","Проверить правило вручную")))))</x:f>
        <x:v>Описать действие</x:v>
      </x:c>
    </x:row>
    <x:row r="14" ht="48" customHeight="1">
      <x:c r="A14" s="2" t="str">
        <x:v>OBS-004</x:v>
      </x:c>
      <x:c r="B14" s="2" t="str">
        <x:v>X-11</x:v>
      </x:c>
      <x:c r="C14" s="2" t="str">
        <x:v>Х-11.mov</x:v>
      </x:c>
      <x:c r="D14" s="11" t="n">
        <x:v>18</x:v>
      </x:c>
      <x:c r="E14" s="14"/>
      <x:c r="F14" s="15"/>
      <x:c r="G14" s="15"/>
      <x:c r="H14" s="15"/>
      <x:c r="I14" s="15"/>
      <x:c r="J14" s="13"/>
      <x:c r="K14" s="2" t="str">
        <x:f>IF(F14="","Описать действие",IF(E14="","Уточнить время",IF(H14="","Указать тип",IF(I14="","Добавить кадр",IF(J14="","Подобрать правило","Проверить правило вручную")))))</x:f>
        <x:v>Описать действие</x:v>
      </x:c>
    </x:row>
    <x:row r="15" ht="48" customHeight="1">
      <x:c r="A15" s="2" t="str">
        <x:v>OBS-005</x:v>
      </x:c>
      <x:c r="B15" s="2" t="str">
        <x:v>X-13</x:v>
      </x:c>
      <x:c r="C15" s="2" t="str">
        <x:v>Х-13.mov</x:v>
      </x:c>
      <x:c r="D15" s="11" t="n">
        <x:v>47</x:v>
      </x:c>
      <x:c r="E15" s="14"/>
      <x:c r="F15" s="15"/>
      <x:c r="G15" s="15"/>
      <x:c r="H15" s="15"/>
      <x:c r="I15" s="15"/>
      <x:c r="J15" s="13"/>
      <x:c r="K15" s="2" t="str">
        <x:f>IF(F15="","Описать действие",IF(E15="","Уточнить время",IF(H15="","Указать тип",IF(I15="","Добавить кадр",IF(J15="","Подобрать правило","Проверить правило вручную")))))</x:f>
        <x:v>Описать действие</x:v>
      </x:c>
    </x:row>
    <x:row r="16" ht="48" customHeight="1">
      <x:c r="A16" s="2" t="str">
        <x:v>OBS-006</x:v>
      </x:c>
      <x:c r="B16" s="2" t="str">
        <x:v>X-15</x:v>
      </x:c>
      <x:c r="C16" s="2" t="str">
        <x:v>Х-15.mov</x:v>
      </x:c>
      <x:c r="D16" s="11" t="n">
        <x:v>15</x:v>
      </x:c>
      <x:c r="E16" s="14"/>
      <x:c r="F16" s="15"/>
      <x:c r="G16" s="15"/>
      <x:c r="H16" s="15"/>
      <x:c r="I16" s="15"/>
      <x:c r="J16" s="13"/>
      <x:c r="K16" s="2" t="str">
        <x:f>IF(F16="","Описать действие",IF(E16="","Уточнить время",IF(H16="","Указать тип",IF(I16="","Добавить кадр",IF(J16="","Подобрать правило","Проверить правило вручную")))))</x:f>
        <x:v>Описать действие</x:v>
      </x:c>
    </x:row>
    <x:row r="17" ht="48" customHeight="1">
      <x:c r="A17" s="2" t="str">
        <x:v>OBS-007</x:v>
      </x:c>
      <x:c r="B17" s="2" t="str">
        <x:v>X-17</x:v>
      </x:c>
      <x:c r="C17" s="2" t="str">
        <x:v>Х-17.mov</x:v>
      </x:c>
      <x:c r="D17" s="11" t="n">
        <x:v>7</x:v>
      </x:c>
      <x:c r="E17" s="14"/>
      <x:c r="F17" s="15"/>
      <x:c r="G17" s="15"/>
      <x:c r="H17" s="15"/>
      <x:c r="I17" s="15"/>
      <x:c r="J17" s="13"/>
      <x:c r="K17" s="2" t="str">
        <x:f>IF(F17="","Описать действие",IF(E17="","Уточнить время",IF(H17="","Указать тип",IF(I17="","Добавить кадр",IF(J17="","Подобрать правило","Проверить правило вручную")))))</x:f>
        <x:v>Описать действие</x:v>
      </x:c>
    </x:row>
    <x:row r="18" ht="48" customHeight="1">
      <x:c r="A18" s="2" t="str">
        <x:v>OBS-008</x:v>
      </x:c>
      <x:c r="B18" s="2" t="str">
        <x:v>X-18</x:v>
      </x:c>
      <x:c r="C18" s="2" t="str">
        <x:v>Х-18.mov</x:v>
      </x:c>
      <x:c r="D18" s="11" t="n">
        <x:v>20</x:v>
      </x:c>
      <x:c r="E18" s="14"/>
      <x:c r="F18" s="15"/>
      <x:c r="G18" s="15"/>
      <x:c r="H18" s="15"/>
      <x:c r="I18" s="15"/>
      <x:c r="J18" s="13"/>
      <x:c r="K18" s="2" t="str">
        <x:f>IF(F18="","Описать действие",IF(E18="","Уточнить время",IF(H18="","Указать тип",IF(I18="","Добавить кадр",IF(J18="","Подобрать правило","Проверить правило вручную")))))</x:f>
        <x:v>Описать действие</x:v>
      </x:c>
    </x:row>
    <x:row r="19" ht="48" customHeight="1">
      <x:c r="A19" s="2" t="str">
        <x:v>OBS-009</x:v>
      </x:c>
      <x:c r="B19" s="2" t="str">
        <x:v>X-20</x:v>
      </x:c>
      <x:c r="C19" s="2" t="str">
        <x:v>Х-20.mov</x:v>
      </x:c>
      <x:c r="D19" s="11" t="n">
        <x:v>5</x:v>
      </x:c>
      <x:c r="E19" s="14"/>
      <x:c r="F19" s="15"/>
      <x:c r="G19" s="15"/>
      <x:c r="H19" s="15"/>
      <x:c r="I19" s="15"/>
      <x:c r="J19" s="13"/>
      <x:c r="K19" s="2" t="str">
        <x:f>IF(F19="","Описать действие",IF(E19="","Уточнить время",IF(H19="","Указать тип",IF(I19="","Добавить кадр",IF(J19="","Подобрать правило","Проверить правило вручную")))))</x:f>
        <x:v>Описать действие</x:v>
      </x:c>
    </x:row>
    <x:row r="20" ht="48" customHeight="1">
      <x:c r="A20" s="2" t="str">
        <x:v>OBS-010</x:v>
      </x:c>
      <x:c r="B20" s="2" t="str">
        <x:v>X-22</x:v>
      </x:c>
      <x:c r="C20" s="2" t="str">
        <x:v>Х-22.mov</x:v>
      </x:c>
      <x:c r="D20" s="11" t="n">
        <x:v>14</x:v>
      </x:c>
      <x:c r="E20" s="14"/>
      <x:c r="F20" s="15"/>
      <x:c r="G20" s="15"/>
      <x:c r="H20" s="15"/>
      <x:c r="I20" s="15"/>
      <x:c r="J20" s="13"/>
      <x:c r="K20" s="2" t="str">
        <x:f>IF(F20="","Описать действие",IF(E20="","Уточнить время",IF(H20="","Указать тип",IF(I20="","Добавить кадр",IF(J20="","Подобрать правило","Проверить правило вручную")))))</x:f>
        <x:v>Описать действие</x:v>
      </x:c>
    </x:row>
    <x:row r="21" ht="48" customHeight="1">
      <x:c r="A21" s="2" t="str">
        <x:v>OBS-011</x:v>
      </x:c>
      <x:c r="B21" s="2" t="str">
        <x:v>X-24</x:v>
      </x:c>
      <x:c r="C21" s="2" t="str">
        <x:v>Х-24.mov</x:v>
      </x:c>
      <x:c r="D21" s="11" t="n">
        <x:v>8</x:v>
      </x:c>
      <x:c r="E21" s="14"/>
      <x:c r="F21" s="15"/>
      <x:c r="G21" s="15"/>
      <x:c r="H21" s="15"/>
      <x:c r="I21" s="15"/>
      <x:c r="J21" s="13"/>
      <x:c r="K21" s="2" t="str">
        <x:f>IF(F21="","Описать действие",IF(E21="","Уточнить время",IF(H21="","Указать тип",IF(I21="","Добавить кадр",IF(J21="","Подобрать правило","Проверить правило вручную")))))</x:f>
        <x:v>Описать действие</x:v>
      </x:c>
    </x:row>
    <x:row r="22" ht="48" customHeight="1">
      <x:c r="A22" s="2" t="str">
        <x:v>OBS-012</x:v>
      </x:c>
      <x:c r="B22" s="2" t="str">
        <x:v>X-26</x:v>
      </x:c>
      <x:c r="C22" s="2" t="str">
        <x:v>Х-26.mov</x:v>
      </x:c>
      <x:c r="D22" s="11" t="n">
        <x:v>9</x:v>
      </x:c>
      <x:c r="E22" s="14"/>
      <x:c r="F22" s="15"/>
      <x:c r="G22" s="15"/>
      <x:c r="H22" s="15"/>
      <x:c r="I22" s="15"/>
      <x:c r="J22" s="13"/>
      <x:c r="K22" s="2" t="str">
        <x:f>IF(F22="","Описать действие",IF(E22="","Уточнить время",IF(H22="","Указать тип",IF(I22="","Добавить кадр",IF(J22="","Подобрать правило","Проверить правило вручную")))))</x:f>
        <x:v>Описать действие</x:v>
      </x:c>
    </x:row>
    <x:row r="23" ht="48" customHeight="1">
      <x:c r="A23" s="2" t="str">
        <x:v>OBS-013</x:v>
      </x:c>
      <x:c r="B23" s="2" t="str">
        <x:v>X-28</x:v>
      </x:c>
      <x:c r="C23" s="2" t="str">
        <x:v>Х-28.mov</x:v>
      </x:c>
      <x:c r="D23" s="11" t="n">
        <x:v>7</x:v>
      </x:c>
      <x:c r="E23" s="14"/>
      <x:c r="F23" s="15"/>
      <x:c r="G23" s="15"/>
      <x:c r="H23" s="15"/>
      <x:c r="I23" s="15"/>
      <x:c r="J23" s="13"/>
      <x:c r="K23" s="2" t="str">
        <x:f>IF(F23="","Описать действие",IF(E23="","Уточнить время",IF(H23="","Указать тип",IF(I23="","Добавить кадр",IF(J23="","Подобрать правило","Проверить правило вручную")))))</x:f>
        <x:v>Описать действие</x:v>
      </x:c>
    </x:row>
    <x:row r="24" ht="48" customHeight="1">
      <x:c r="A24" s="2" t="str">
        <x:v>OBS-014</x:v>
      </x:c>
      <x:c r="B24" s="2" t="str">
        <x:v>X-30</x:v>
      </x:c>
      <x:c r="C24" s="2" t="str">
        <x:v>Х-30.mov</x:v>
      </x:c>
      <x:c r="D24" s="11" t="n">
        <x:v>13</x:v>
      </x:c>
      <x:c r="E24" s="14"/>
      <x:c r="F24" s="15"/>
      <x:c r="G24" s="15"/>
      <x:c r="H24" s="15"/>
      <x:c r="I24" s="15"/>
      <x:c r="J24" s="13"/>
      <x:c r="K24" s="2" t="str">
        <x:f>IF(F24="","Описать действие",IF(E24="","Уточнить время",IF(H24="","Указать тип",IF(I24="","Добавить кадр",IF(J24="","Подобрать правило","Проверить правило вручную")))))</x:f>
        <x:v>Описать действие</x:v>
      </x:c>
    </x:row>
    <x:row r="25" ht="48" customHeight="1">
      <x:c r="A25" s="2" t="str">
        <x:v>OBS-015</x:v>
      </x:c>
      <x:c r="B25" s="2" t="str">
        <x:v>X-32</x:v>
      </x:c>
      <x:c r="C25" s="2" t="str">
        <x:v>Х-32.mov</x:v>
      </x:c>
      <x:c r="D25" s="11" t="n">
        <x:v>5</x:v>
      </x:c>
      <x:c r="E25" s="14"/>
      <x:c r="F25" s="15"/>
      <x:c r="G25" s="15"/>
      <x:c r="H25" s="15"/>
      <x:c r="I25" s="15"/>
      <x:c r="J25" s="13"/>
      <x:c r="K25" s="2" t="str">
        <x:f>IF(F25="","Описать действие",IF(E25="","Уточнить время",IF(H25="","Указать тип",IF(I25="","Добавить кадр",IF(J25="","Подобрать правило","Проверить правило вручную")))))</x:f>
        <x:v>Описать действие</x:v>
      </x:c>
    </x:row>
    <x:row r="26" ht="48" customHeight="1">
      <x:c r="A26" s="2" t="str">
        <x:v>OBS-016</x:v>
      </x:c>
      <x:c r="B26" s="2" t="str">
        <x:v>X-33</x:v>
      </x:c>
      <x:c r="C26" s="2" t="str">
        <x:v>Х-33.mov</x:v>
      </x:c>
      <x:c r="D26" s="11" t="n">
        <x:v>6</x:v>
      </x:c>
      <x:c r="E26" s="14"/>
      <x:c r="F26" s="15"/>
      <x:c r="G26" s="15"/>
      <x:c r="H26" s="15"/>
      <x:c r="I26" s="15"/>
      <x:c r="J26" s="13"/>
      <x:c r="K26" s="2" t="str">
        <x:f>IF(F26="","Описать действие",IF(E26="","Уточнить время",IF(H26="","Указать тип",IF(I26="","Добавить кадр",IF(J26="","Подобрать правило","Проверить правило вручную")))))</x:f>
        <x:v>Описать действие</x:v>
      </x:c>
    </x:row>
    <x:row r="27" ht="48" customHeight="1">
      <x:c r="A27" s="2" t="str">
        <x:v>OBS-017</x:v>
      </x:c>
      <x:c r="B27" s="2" t="str">
        <x:v>X-34</x:v>
      </x:c>
      <x:c r="C27" s="2" t="str">
        <x:v>Х-34.mov</x:v>
      </x:c>
      <x:c r="D27" s="11" t="n">
        <x:v>13</x:v>
      </x:c>
      <x:c r="E27" s="14"/>
      <x:c r="F27" s="15"/>
      <x:c r="G27" s="15"/>
      <x:c r="H27" s="15"/>
      <x:c r="I27" s="15"/>
      <x:c r="J27" s="13"/>
      <x:c r="K27" s="2" t="str">
        <x:f>IF(F27="","Описать действие",IF(E27="","Уточнить время",IF(H27="","Указать тип",IF(I27="","Добавить кадр",IF(J27="","Подобрать правило","Проверить правило вручную")))))</x:f>
        <x:v>Описать действие</x:v>
      </x:c>
    </x:row>
    <x:row r="28" ht="48" customHeight="1">
      <x:c r="A28" s="2" t="str">
        <x:v>OBS-018</x:v>
      </x:c>
      <x:c r="B28" s="2" t="str">
        <x:v>X-38</x:v>
      </x:c>
      <x:c r="C28" s="2" t="str">
        <x:v>Х-38.mov</x:v>
      </x:c>
      <x:c r="D28" s="11" t="n">
        <x:v>33</x:v>
      </x:c>
      <x:c r="E28" s="14"/>
      <x:c r="F28" s="15"/>
      <x:c r="G28" s="15"/>
      <x:c r="H28" s="15"/>
      <x:c r="I28" s="15"/>
      <x:c r="J28" s="13"/>
      <x:c r="K28" s="2" t="str">
        <x:f>IF(F28="","Описать действие",IF(E28="","Уточнить время",IF(H28="","Указать тип",IF(I28="","Добавить кадр",IF(J28="","Подобрать правило","Проверить правило вручную")))))</x:f>
        <x:v>Описать действие</x:v>
      </x:c>
    </x:row>
    <x:row r="29" ht="48" customHeight="1">
      <x:c r="A29" s="2" t="str">
        <x:v>OBS-019</x:v>
      </x:c>
      <x:c r="B29" s="2" t="str">
        <x:v>X-40</x:v>
      </x:c>
      <x:c r="C29" s="2" t="str">
        <x:v>Х-40.mov</x:v>
      </x:c>
      <x:c r="D29" s="11" t="n">
        <x:v>17</x:v>
      </x:c>
      <x:c r="E29" s="14"/>
      <x:c r="F29" s="15"/>
      <x:c r="G29" s="15"/>
      <x:c r="H29" s="15"/>
      <x:c r="I29" s="15"/>
      <x:c r="J29" s="13"/>
      <x:c r="K29" s="2" t="str">
        <x:f>IF(F29="","Описать действие",IF(E29="","Уточнить время",IF(H29="","Указать тип",IF(I29="","Добавить кадр",IF(J29="","Подобрать правило","Проверить правило вручную")))))</x:f>
        <x:v>Описать действие</x:v>
      </x:c>
    </x:row>
    <x:row r="30" ht="48" customHeight="1">
      <x:c r="A30" s="2" t="str">
        <x:v>OBS-020</x:v>
      </x:c>
      <x:c r="B30" s="2" t="str">
        <x:v>X-44</x:v>
      </x:c>
      <x:c r="C30" s="2" t="str">
        <x:v>Х-44.mov</x:v>
      </x:c>
      <x:c r="D30" s="11" t="n">
        <x:v>16</x:v>
      </x:c>
      <x:c r="E30" s="14"/>
      <x:c r="F30" s="15"/>
      <x:c r="G30" s="15"/>
      <x:c r="H30" s="15"/>
      <x:c r="I30" s="15"/>
      <x:c r="J30" s="13"/>
      <x:c r="K30" s="2" t="str">
        <x:f>IF(F30="","Описать действие",IF(E30="","Уточнить время",IF(H30="","Указать тип",IF(I30="","Добавить кадр",IF(J30="","Подобрать правило","Проверить правило вручную")))))</x:f>
        <x:v>Описать действие</x:v>
      </x:c>
    </x:row>
    <x:row r="31" ht="48" customHeight="1">
      <x:c r="A31" s="2" t="str">
        <x:v>OBS-021</x:v>
      </x:c>
      <x:c r="B31" s="2" t="str">
        <x:v>X-46</x:v>
      </x:c>
      <x:c r="C31" s="2" t="str">
        <x:v>Х-46.mov</x:v>
      </x:c>
      <x:c r="D31" s="11" t="n">
        <x:v>11</x:v>
      </x:c>
      <x:c r="E31" s="14"/>
      <x:c r="F31" s="15"/>
      <x:c r="G31" s="15"/>
      <x:c r="H31" s="15"/>
      <x:c r="I31" s="15"/>
      <x:c r="J31" s="13"/>
      <x:c r="K31" s="2" t="str">
        <x:f>IF(F31="","Описать действие",IF(E31="","Уточнить время",IF(H31="","Указать тип",IF(I31="","Добавить кадр",IF(J31="","Подобрать правило","Проверить правило вручную")))))</x:f>
        <x:v>Описать действие</x:v>
      </x:c>
    </x:row>
    <x:row r="32" ht="48" customHeight="1">
      <x:c r="A32" s="2" t="str">
        <x:v>OBS-022</x:v>
      </x:c>
      <x:c r="B32" s="2" t="str">
        <x:v>X-47</x:v>
      </x:c>
      <x:c r="C32" s="2" t="str">
        <x:v>Х-47.mov</x:v>
      </x:c>
      <x:c r="D32" s="11" t="n">
        <x:v>68</x:v>
      </x:c>
      <x:c r="E32" s="14"/>
      <x:c r="F32" s="15"/>
      <x:c r="G32" s="15"/>
      <x:c r="H32" s="15"/>
      <x:c r="I32" s="15"/>
      <x:c r="J32" s="13"/>
      <x:c r="K32" s="2" t="str">
        <x:f>IF(F32="","Описать действие",IF(E32="","Уточнить время",IF(H32="","Указать тип",IF(I32="","Добавить кадр",IF(J32="","Подобрать правило","Проверить правило вручную")))))</x:f>
        <x:v>Описать действие</x:v>
      </x:c>
    </x:row>
  </x:sheetData>
  <x:pageMargins left="0.7" right="0.7" top="0.75" bottom="0.75" header="0.3" footer="0.3"/>
  <x:tableParts count="1">
    <x:tablePart xmlns:r="http://schemas.openxmlformats.org/officeDocument/2006/relationships" r:id="Reb3048f49fd74577"/>
  </x:tableParts>
</x:worksheet>
</file>

<file path=xl/worksheets/sheet3.xml><?xml version="1.0" encoding="utf-8"?>
<x:worksheet xmlns:x="http://schemas.openxmlformats.org/spreadsheetml/2006/main">
  <x:sheetPr>
    <x:tabColor rgb="FFB65A80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15" hidden="0" customWidth="1"/>
    <x:col min="2" max="2" width="29" hidden="0" customWidth="1"/>
    <x:col min="3" max="3" width="43" hidden="0" customWidth="1"/>
    <x:col min="4" max="4" width="43" hidden="0" customWidth="1"/>
    <x:col min="5" max="5" width="40" hidden="0" customWidth="1"/>
    <x:col min="6" max="6" width="24" hidden="0" customWidth="1"/>
    <x:col min="7" max="7" width="43" hidden="0" customWidth="1"/>
    <x:col min="8" max="8" width="43" hidden="0" customWidth="1"/>
    <x:col min="9" max="9" width="19" hidden="0" customWidth="1"/>
    <x:col min="10" max="10" width="2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Каталог проверяемых правил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6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6" customHeight="1">
      <x:c r="A4" s="6" t="str">
        <x:v>Пока правила не исследованы: шаблон оставлен пустым. Заполняйте после ручного просмотра примеров.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6" customHeight="1">
      <x:c r="A5" s="6" t="str">
        <x:v>Используйте применимые открытые источники РК. Проверяйте актуальность документа, пункт и условия применения.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6" customHeight="1">
      <x:c r="A6" s="6" t="str">
        <x:v>Вывод по видео — признак возможного нарушения для проверки человеком. Связь с источником должна быть обоснована.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7" ht="26" customHeight="1">
      <x:c r="A7" s="6" t="str">
        <x:v>Обязательное действие нельзя считать пропущенным без просмотра всей относящейся к нему последовательности.</x:v>
      </x:c>
      <x:c r="B7" s="2"/>
      <x:c r="C7" s="2"/>
      <x:c r="D7" s="2"/>
      <x:c r="E7" s="2"/>
      <x:c r="F7" s="2"/>
      <x:c r="G7" s="2"/>
      <x:c r="H7" s="2"/>
      <x:c r="I7" s="2"/>
      <x:c r="J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26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48" customHeight="1">
      <x:c r="A10" s="10" t="str">
        <x:v>ID правила</x:v>
      </x:c>
      <x:c r="B10" s="10" t="str">
        <x:v>Тип события</x:v>
      </x:c>
      <x:c r="C10" s="10" t="str">
        <x:v>Визуальные признаки</x:v>
      </x:c>
      <x:c r="D10" s="10" t="str">
        <x:v>Документ</x:v>
      </x:c>
      <x:c r="E10" s="10" t="str">
        <x:v>Ссылка</x:v>
      </x:c>
      <x:c r="F10" s="10" t="str">
        <x:v>Пункт / раздел</x:v>
      </x:c>
      <x:c r="G10" s="10" t="str">
        <x:v>Условия применения</x:v>
      </x:c>
      <x:c r="H10" s="10" t="str">
        <x:v>Когда вывод невозможен</x:v>
      </x:c>
      <x:c r="I10" s="10" t="str">
        <x:v>Дата проверки</x:v>
      </x:c>
      <x:c r="J10" s="10" t="str">
        <x:v>Статус проверки</x:v>
      </x:c>
    </x:row>
    <x:row r="11" ht="48" customHeight="1">
      <x:c r="A11" s="13"/>
      <x:c r="B11" s="15"/>
      <x:c r="C11" s="15"/>
      <x:c r="D11" s="15"/>
      <x:c r="E11" s="15"/>
      <x:c r="F11" s="15"/>
      <x:c r="G11" s="15"/>
      <x:c r="H11" s="15"/>
      <x:c r="I11" s="16"/>
      <x:c r="J11" s="13"/>
    </x:row>
    <x:row r="12" ht="48" customHeight="1">
      <x:c r="A12" s="13"/>
      <x:c r="B12" s="15"/>
      <x:c r="C12" s="15"/>
      <x:c r="D12" s="15"/>
      <x:c r="E12" s="15"/>
      <x:c r="F12" s="15"/>
      <x:c r="G12" s="15"/>
      <x:c r="H12" s="15"/>
      <x:c r="I12" s="16"/>
      <x:c r="J12" s="13"/>
    </x:row>
    <x:row r="13" ht="48" customHeight="1">
      <x:c r="A13" s="13"/>
      <x:c r="B13" s="15"/>
      <x:c r="C13" s="15"/>
      <x:c r="D13" s="15"/>
      <x:c r="E13" s="15"/>
      <x:c r="F13" s="15"/>
      <x:c r="G13" s="15"/>
      <x:c r="H13" s="15"/>
      <x:c r="I13" s="16"/>
      <x:c r="J13" s="13"/>
    </x:row>
    <x:row r="14" ht="48" customHeight="1">
      <x:c r="A14" s="13"/>
      <x:c r="B14" s="15"/>
      <x:c r="C14" s="15"/>
      <x:c r="D14" s="15"/>
      <x:c r="E14" s="15"/>
      <x:c r="F14" s="15"/>
      <x:c r="G14" s="15"/>
      <x:c r="H14" s="15"/>
      <x:c r="I14" s="16"/>
      <x:c r="J14" s="13"/>
    </x:row>
    <x:row r="15" ht="48" customHeight="1">
      <x:c r="A15" s="13"/>
      <x:c r="B15" s="15"/>
      <x:c r="C15" s="15"/>
      <x:c r="D15" s="15"/>
      <x:c r="E15" s="15"/>
      <x:c r="F15" s="15"/>
      <x:c r="G15" s="15"/>
      <x:c r="H15" s="15"/>
      <x:c r="I15" s="16"/>
      <x:c r="J15" s="13"/>
    </x:row>
    <x:row r="16" ht="48" customHeight="1">
      <x:c r="A16" s="13"/>
      <x:c r="B16" s="15"/>
      <x:c r="C16" s="15"/>
      <x:c r="D16" s="15"/>
      <x:c r="E16" s="15"/>
      <x:c r="F16" s="15"/>
      <x:c r="G16" s="15"/>
      <x:c r="H16" s="15"/>
      <x:c r="I16" s="16"/>
      <x:c r="J16" s="13"/>
    </x:row>
    <x:row r="17" ht="48" customHeight="1">
      <x:c r="A17" s="13"/>
      <x:c r="B17" s="15"/>
      <x:c r="C17" s="15"/>
      <x:c r="D17" s="15"/>
      <x:c r="E17" s="15"/>
      <x:c r="F17" s="15"/>
      <x:c r="G17" s="15"/>
      <x:c r="H17" s="15"/>
      <x:c r="I17" s="16"/>
      <x:c r="J17" s="13"/>
    </x:row>
    <x:row r="18" ht="48" customHeight="1">
      <x:c r="A18" s="13"/>
      <x:c r="B18" s="15"/>
      <x:c r="C18" s="15"/>
      <x:c r="D18" s="15"/>
      <x:c r="E18" s="15"/>
      <x:c r="F18" s="15"/>
      <x:c r="G18" s="15"/>
      <x:c r="H18" s="15"/>
      <x:c r="I18" s="16"/>
      <x:c r="J18" s="13"/>
    </x:row>
    <x:row r="19" ht="48" customHeight="1">
      <x:c r="A19" s="13"/>
      <x:c r="B19" s="15"/>
      <x:c r="C19" s="15"/>
      <x:c r="D19" s="15"/>
      <x:c r="E19" s="15"/>
      <x:c r="F19" s="15"/>
      <x:c r="G19" s="15"/>
      <x:c r="H19" s="15"/>
      <x:c r="I19" s="16"/>
      <x:c r="J19" s="13"/>
    </x:row>
    <x:row r="20" ht="48" customHeight="1">
      <x:c r="A20" s="13"/>
      <x:c r="B20" s="15"/>
      <x:c r="C20" s="15"/>
      <x:c r="D20" s="15"/>
      <x:c r="E20" s="15"/>
      <x:c r="F20" s="15"/>
      <x:c r="G20" s="15"/>
      <x:c r="H20" s="15"/>
      <x:c r="I20" s="16"/>
      <x:c r="J20" s="13"/>
    </x:row>
    <x:row r="21" ht="48" customHeight="1">
      <x:c r="A21" s="13"/>
      <x:c r="B21" s="15"/>
      <x:c r="C21" s="15"/>
      <x:c r="D21" s="15"/>
      <x:c r="E21" s="15"/>
      <x:c r="F21" s="15"/>
      <x:c r="G21" s="15"/>
      <x:c r="H21" s="15"/>
      <x:c r="I21" s="16"/>
      <x:c r="J21" s="13"/>
    </x:row>
    <x:row r="22" ht="48" customHeight="1">
      <x:c r="A22" s="13"/>
      <x:c r="B22" s="15"/>
      <x:c r="C22" s="15"/>
      <x:c r="D22" s="15"/>
      <x:c r="E22" s="15"/>
      <x:c r="F22" s="15"/>
      <x:c r="G22" s="15"/>
      <x:c r="H22" s="15"/>
      <x:c r="I22" s="16"/>
      <x:c r="J22" s="13"/>
    </x:row>
  </x:sheetData>
  <x:dataValidations count="1">
    <x:dataValidation type="list" sqref="J11:J22">
      <x:formula1>"Черновик,Проверяется,Проверено,Отклонено"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76ece4e2354b5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32" hidden="0" customWidth="1"/>
  </x:cols>
  <x:sheetData>
    <x:row r="1" ht="26" customHeight="1">
      <x:c r="A1" s="2"/>
      <x:c r="B1" s="2"/>
      <x:c r="C1" s="2"/>
    </x:row>
    <x:row r="2" ht="32" customHeight="1">
      <x:c r="A2" s="3" t="str">
        <x:v>Разметка организаторов</x:v>
      </x:c>
      <x:c r="B2" s="2"/>
      <x:c r="C2" s="2"/>
    </x:row>
    <x:row r="3" ht="26" customHeight="1">
      <x:c r="A3" s="4"/>
      <x:c r="B3" s="4"/>
      <x:c r="C3" s="4"/>
    </x:row>
    <x:row r="4" ht="26" customHeight="1">
      <x:c r="A4" s="6" t="str">
        <x:v>Источник: open.zip / open/open_labels.xlsx, лист labels. Исходные значения сохранены без исправлений.</x:v>
      </x:c>
      <x:c r="B4" s="2"/>
      <x:c r="C4" s="2"/>
    </x:row>
    <x:row r="5" ht="26" customHeight="1">
      <x:c r="A5" s="6" t="str">
        <x:v>Пустая отметка времени у отрицательного видео означает отсутствие отметки, а не нулевую секунду.</x:v>
      </x:c>
      <x:c r="B5" s="2"/>
      <x:c r="C5" s="2"/>
    </x:row>
    <x:row r="6" ht="26" customHeight="1">
      <x:c r="A6" s="6" t="str">
        <x:v>Ограничения работы: Кейс_ForteBank.pdf, разделы 4–7 и FAQ. Видео и кадры в книгу не включены.</x:v>
      </x:c>
      <x:c r="B6" s="2"/>
      <x:c r="C6" s="2"/>
    </x:row>
    <x:row r="7" ht="48" customHeight="1">
      <x:c r="A7" s="10" t="str">
        <x:v>наименование файла</x:v>
      </x:c>
      <x:c r="B7" s="10" t="str">
        <x:v>таймстемп</x:v>
      </x:c>
      <x:c r="C7" s="10" t="str">
        <x:v>нарушение / без нарушения</x:v>
      </x:c>
    </x:row>
    <x:row r="8" ht="26" customHeight="1">
      <x:c r="A8" s="2" t="str">
        <x:v>X-1</x:v>
      </x:c>
      <x:c r="B8" s="2" t="str">
        <x:v>22 секунда</x:v>
      </x:c>
      <x:c r="C8" s="2" t="str">
        <x:v>нарушение</x:v>
      </x:c>
    </x:row>
    <x:row r="9" ht="26" customHeight="1">
      <x:c r="A9" s="2" t="str">
        <x:v>X-2</x:v>
      </x:c>
      <x:c r="B9" s="2" t="str">
        <x:v>10 секунда</x:v>
      </x:c>
      <x:c r="C9" s="2" t="str">
        <x:v>нарушение</x:v>
      </x:c>
    </x:row>
    <x:row r="10" ht="26" customHeight="1">
      <x:c r="A10" s="2" t="str">
        <x:v>Х-3</x:v>
      </x:c>
      <x:c r="B10" s="2"/>
      <x:c r="C10" s="2" t="str">
        <x:v>без нарушения</x:v>
      </x:c>
    </x:row>
    <x:row r="11" ht="26" customHeight="1">
      <x:c r="A11" s="2" t="str">
        <x:v>Х-4</x:v>
      </x:c>
      <x:c r="B11" s="2" t="str">
        <x:v>57 секунда</x:v>
      </x:c>
      <x:c r="C11" s="2" t="str">
        <x:v>нарушение</x:v>
      </x:c>
    </x:row>
    <x:row r="12" ht="26" customHeight="1">
      <x:c r="A12" s="2" t="str">
        <x:v>Х-5</x:v>
      </x:c>
      <x:c r="B12" s="2"/>
      <x:c r="C12" s="2" t="str">
        <x:v>без нарушения</x:v>
      </x:c>
    </x:row>
    <x:row r="13" ht="26" customHeight="1">
      <x:c r="A13" s="2" t="str">
        <x:v>Х-8</x:v>
      </x:c>
      <x:c r="B13" s="2"/>
      <x:c r="C13" s="2" t="str">
        <x:v>без нарушения</x:v>
      </x:c>
    </x:row>
    <x:row r="14" ht="26" customHeight="1">
      <x:c r="A14" s="2" t="str">
        <x:v>Х-10</x:v>
      </x:c>
      <x:c r="B14" s="2"/>
      <x:c r="C14" s="2" t="str">
        <x:v>без нарушения</x:v>
      </x:c>
    </x:row>
    <x:row r="15" ht="26" customHeight="1">
      <x:c r="A15" s="2" t="str">
        <x:v>Х-11</x:v>
      </x:c>
      <x:c r="B15" s="2" t="str">
        <x:v>18 секунда</x:v>
      </x:c>
      <x:c r="C15" s="2" t="str">
        <x:v>нарушение</x:v>
      </x:c>
    </x:row>
    <x:row r="16" ht="26" customHeight="1">
      <x:c r="A16" s="2" t="str">
        <x:v>Х-12</x:v>
      </x:c>
      <x:c r="B16" s="2"/>
      <x:c r="C16" s="2" t="str">
        <x:v>без нарушения</x:v>
      </x:c>
    </x:row>
    <x:row r="17" ht="26" customHeight="1">
      <x:c r="A17" s="2" t="str">
        <x:v>Х-13</x:v>
      </x:c>
      <x:c r="B17" s="2" t="str">
        <x:v>47 секунда</x:v>
      </x:c>
      <x:c r="C17" s="2" t="str">
        <x:v>нарушение</x:v>
      </x:c>
    </x:row>
    <x:row r="18" ht="26" customHeight="1">
      <x:c r="A18" s="2" t="str">
        <x:v>Х-14</x:v>
      </x:c>
      <x:c r="B18" s="2"/>
      <x:c r="C18" s="2" t="str">
        <x:v>без нарушения</x:v>
      </x:c>
    </x:row>
    <x:row r="19" ht="26" customHeight="1">
      <x:c r="A19" s="2" t="str">
        <x:v>Х-15</x:v>
      </x:c>
      <x:c r="B19" s="2" t="str">
        <x:v>15 секунда</x:v>
      </x:c>
      <x:c r="C19" s="2" t="str">
        <x:v>нарушение</x:v>
      </x:c>
    </x:row>
    <x:row r="20" ht="26" customHeight="1">
      <x:c r="A20" s="2" t="str">
        <x:v>Х-16</x:v>
      </x:c>
      <x:c r="B20" s="2"/>
      <x:c r="C20" s="2" t="str">
        <x:v>без нарушения</x:v>
      </x:c>
    </x:row>
    <x:row r="21" ht="26" customHeight="1">
      <x:c r="A21" s="2" t="str">
        <x:v>Х-17</x:v>
      </x:c>
      <x:c r="B21" s="2" t="str">
        <x:v>7 секунда</x:v>
      </x:c>
      <x:c r="C21" s="2" t="str">
        <x:v>нарушение</x:v>
      </x:c>
    </x:row>
    <x:row r="22" ht="26" customHeight="1">
      <x:c r="A22" s="2" t="str">
        <x:v>Х-18</x:v>
      </x:c>
      <x:c r="B22" s="2" t="str">
        <x:v>20 секунда</x:v>
      </x:c>
      <x:c r="C22" s="2" t="str">
        <x:v>нарушение</x:v>
      </x:c>
    </x:row>
    <x:row r="23" ht="26" customHeight="1">
      <x:c r="A23" s="2" t="str">
        <x:v>Х-19</x:v>
      </x:c>
      <x:c r="B23" s="2"/>
      <x:c r="C23" s="2" t="str">
        <x:v>без нарушения</x:v>
      </x:c>
    </x:row>
    <x:row r="24" ht="26" customHeight="1">
      <x:c r="A24" s="2" t="str">
        <x:v>Х-20</x:v>
      </x:c>
      <x:c r="B24" s="2" t="str">
        <x:v>5 секунда</x:v>
      </x:c>
      <x:c r="C24" s="2" t="str">
        <x:v>нарушение</x:v>
      </x:c>
    </x:row>
    <x:row r="25" ht="26" customHeight="1">
      <x:c r="A25" s="2" t="str">
        <x:v>Х-21</x:v>
      </x:c>
      <x:c r="B25" s="2"/>
      <x:c r="C25" s="2" t="str">
        <x:v>без нарушения</x:v>
      </x:c>
    </x:row>
    <x:row r="26" ht="26" customHeight="1">
      <x:c r="A26" s="2" t="str">
        <x:v>Х-22</x:v>
      </x:c>
      <x:c r="B26" s="2" t="str">
        <x:v>14 секунда</x:v>
      </x:c>
      <x:c r="C26" s="2" t="str">
        <x:v>нарушение</x:v>
      </x:c>
    </x:row>
    <x:row r="27" ht="26" customHeight="1">
      <x:c r="A27" s="2" t="str">
        <x:v>Х-23</x:v>
      </x:c>
      <x:c r="B27" s="2"/>
      <x:c r="C27" s="2" t="str">
        <x:v>без нарушения</x:v>
      </x:c>
    </x:row>
    <x:row r="28" ht="26" customHeight="1">
      <x:c r="A28" s="2" t="str">
        <x:v>Х-24</x:v>
      </x:c>
      <x:c r="B28" s="2" t="str">
        <x:v>8 секунда</x:v>
      </x:c>
      <x:c r="C28" s="2" t="str">
        <x:v>нарушение</x:v>
      </x:c>
    </x:row>
    <x:row r="29" ht="26" customHeight="1">
      <x:c r="A29" s="2" t="str">
        <x:v>Х-25</x:v>
      </x:c>
      <x:c r="B29" s="2"/>
      <x:c r="C29" s="2" t="str">
        <x:v>без нарушения</x:v>
      </x:c>
    </x:row>
    <x:row r="30" ht="26" customHeight="1">
      <x:c r="A30" s="2" t="str">
        <x:v>Х-26</x:v>
      </x:c>
      <x:c r="B30" s="2" t="str">
        <x:v>9 секунда</x:v>
      </x:c>
      <x:c r="C30" s="2" t="str">
        <x:v>нарушение</x:v>
      </x:c>
    </x:row>
    <x:row r="31" ht="26" customHeight="1">
      <x:c r="A31" s="2" t="str">
        <x:v>Х-27</x:v>
      </x:c>
      <x:c r="B31" s="2"/>
      <x:c r="C31" s="2" t="str">
        <x:v>без нарушения</x:v>
      </x:c>
    </x:row>
    <x:row r="32" ht="26" customHeight="1">
      <x:c r="A32" s="2" t="str">
        <x:v>Х-28</x:v>
      </x:c>
      <x:c r="B32" s="2" t="str">
        <x:v>7 секунда</x:v>
      </x:c>
      <x:c r="C32" s="2" t="str">
        <x:v>нарушение</x:v>
      </x:c>
    </x:row>
    <x:row r="33" ht="26" customHeight="1">
      <x:c r="A33" s="2" t="str">
        <x:v>Х-29</x:v>
      </x:c>
      <x:c r="B33" s="2"/>
      <x:c r="C33" s="2" t="str">
        <x:v>без нарушения</x:v>
      </x:c>
    </x:row>
    <x:row r="34" ht="26" customHeight="1">
      <x:c r="A34" s="2" t="str">
        <x:v>Х-30</x:v>
      </x:c>
      <x:c r="B34" s="2" t="str">
        <x:v>13 секунда</x:v>
      </x:c>
      <x:c r="C34" s="2" t="str">
        <x:v>нарушение</x:v>
      </x:c>
    </x:row>
    <x:row r="35" ht="26" customHeight="1">
      <x:c r="A35" s="2" t="str">
        <x:v>Х-31</x:v>
      </x:c>
      <x:c r="B35" s="2"/>
      <x:c r="C35" s="2" t="str">
        <x:v>без нарушения</x:v>
      </x:c>
    </x:row>
    <x:row r="36" ht="26" customHeight="1">
      <x:c r="A36" s="2" t="str">
        <x:v>Х-32</x:v>
      </x:c>
      <x:c r="B36" s="2" t="str">
        <x:v>5 секунда</x:v>
      </x:c>
      <x:c r="C36" s="2" t="str">
        <x:v>нарушение</x:v>
      </x:c>
    </x:row>
    <x:row r="37" ht="26" customHeight="1">
      <x:c r="A37" s="2" t="str">
        <x:v>Х-33</x:v>
      </x:c>
      <x:c r="B37" s="2" t="str">
        <x:v>6 секунда</x:v>
      </x:c>
      <x:c r="C37" s="2" t="str">
        <x:v>нарушение</x:v>
      </x:c>
    </x:row>
    <x:row r="38" ht="26" customHeight="1">
      <x:c r="A38" s="2" t="str">
        <x:v>Х-34</x:v>
      </x:c>
      <x:c r="B38" s="2" t="str">
        <x:v>13 секунда</x:v>
      </x:c>
      <x:c r="C38" s="2" t="str">
        <x:v>нарушение</x:v>
      </x:c>
    </x:row>
    <x:row r="39" ht="26" customHeight="1">
      <x:c r="A39" s="2" t="str">
        <x:v>Х-35</x:v>
      </x:c>
      <x:c r="B39" s="2"/>
      <x:c r="C39" s="2" t="str">
        <x:v>без нарушения</x:v>
      </x:c>
    </x:row>
    <x:row r="40" ht="26" customHeight="1">
      <x:c r="A40" s="2" t="str">
        <x:v>Х-37</x:v>
      </x:c>
      <x:c r="B40" s="2"/>
      <x:c r="C40" s="2" t="str">
        <x:v>без нарушения</x:v>
      </x:c>
    </x:row>
    <x:row r="41" ht="26" customHeight="1">
      <x:c r="A41" s="2" t="str">
        <x:v>Х-38</x:v>
      </x:c>
      <x:c r="B41" s="2" t="str">
        <x:v>33 секунда</x:v>
      </x:c>
      <x:c r="C41" s="2" t="str">
        <x:v>нарушение</x:v>
      </x:c>
    </x:row>
    <x:row r="42" ht="26" customHeight="1">
      <x:c r="A42" s="2" t="str">
        <x:v>Х-39</x:v>
      </x:c>
      <x:c r="B42" s="2"/>
      <x:c r="C42" s="2" t="str">
        <x:v>без нарушения</x:v>
      </x:c>
    </x:row>
    <x:row r="43" ht="26" customHeight="1">
      <x:c r="A43" s="2" t="str">
        <x:v>Х-40</x:v>
      </x:c>
      <x:c r="B43" s="2" t="str">
        <x:v>17 секунда</x:v>
      </x:c>
      <x:c r="C43" s="2" t="str">
        <x:v>нарушение</x:v>
      </x:c>
    </x:row>
    <x:row r="44" ht="26" customHeight="1">
      <x:c r="A44" s="2" t="str">
        <x:v>Х-43</x:v>
      </x:c>
      <x:c r="B44" s="2"/>
      <x:c r="C44" s="2" t="str">
        <x:v>без нарушения</x:v>
      </x:c>
    </x:row>
    <x:row r="45" ht="26" customHeight="1">
      <x:c r="A45" s="2" t="str">
        <x:v>Х-44</x:v>
      </x:c>
      <x:c r="B45" s="2" t="str">
        <x:v>16 секунда</x:v>
      </x:c>
      <x:c r="C45" s="2" t="str">
        <x:v>нарушение</x:v>
      </x:c>
    </x:row>
    <x:row r="46" ht="26" customHeight="1">
      <x:c r="A46" s="2" t="str">
        <x:v>Х-45</x:v>
      </x:c>
      <x:c r="B46" s="2"/>
      <x:c r="C46" s="2" t="str">
        <x:v>без нарушения</x:v>
      </x:c>
    </x:row>
    <x:row r="47" ht="26" customHeight="1">
      <x:c r="A47" s="2" t="str">
        <x:v>Х-46</x:v>
      </x:c>
      <x:c r="B47" s="2" t="str">
        <x:v>11 секунда</x:v>
      </x:c>
      <x:c r="C47" s="2" t="str">
        <x:v>нарушение</x:v>
      </x:c>
    </x:row>
    <x:row r="48" ht="26" customHeight="1">
      <x:c r="A48" s="2" t="str">
        <x:v>Х-47</x:v>
      </x:c>
      <x:c r="B48" s="2" t="str">
        <x:v>1минута 8 секунда</x:v>
      </x:c>
      <x:c r="C48" s="2" t="str">
        <x:v>нарушение</x:v>
      </x:c>
    </x:row>
    <x:row r="49" ht="26" customHeight="1">
      <x:c r="A49" s="2" t="str">
        <x:v>Х-48</x:v>
      </x:c>
      <x:c r="B49" s="2"/>
      <x:c r="C49" s="2" t="str">
        <x:v>без нарушения</x:v>
      </x:c>
    </x:row>
  </x:sheetData>
  <x:pageMargins left="0.7" right="0.7" top="0.75" bottom="0.75" header="0.3" footer="0.3"/>
  <x:tableParts count="1">
    <x:tablePart xmlns:r="http://schemas.openxmlformats.org/officeDocument/2006/relationships" r:id="R514d7ec524094aa8"/>
  </x:tableParts>
</x:worksheet>
</file>